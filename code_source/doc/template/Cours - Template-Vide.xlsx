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line365-my.sharepoint.com/personal/david_dl_lopez_worldline_com/Documents/Travail/Projet IA/ALJ/ALJ-CRM/liste adhérent/"/>
    </mc:Choice>
  </mc:AlternateContent>
  <xr:revisionPtr revIDLastSave="0" documentId="8_{27F422B7-C2DE-4026-92D6-2D4D8456D45C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Résumé Effectifs" sheetId="1" r:id="rId1"/>
    <sheet name="Feuil1" sheetId="2" r:id="rId2"/>
    <sheet name="Vacance et férié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X52" i="1" l="1"/>
  <c r="EW52" i="1"/>
  <c r="EV52" i="1"/>
  <c r="EU52" i="1"/>
  <c r="ET52" i="1"/>
  <c r="ES52" i="1"/>
  <c r="ER52" i="1"/>
  <c r="EQ52" i="1"/>
  <c r="EP52" i="1"/>
  <c r="EO52" i="1"/>
  <c r="EN52" i="1"/>
  <c r="EM52" i="1"/>
  <c r="EL52" i="1"/>
  <c r="EK52" i="1"/>
  <c r="EJ52" i="1"/>
  <c r="EI52" i="1"/>
  <c r="EH52" i="1"/>
  <c r="EG52" i="1"/>
  <c r="EF52" i="1"/>
  <c r="EE52" i="1"/>
  <c r="ED52" i="1"/>
  <c r="EC52" i="1"/>
  <c r="EB52" i="1"/>
  <c r="EA52" i="1"/>
  <c r="DZ52" i="1"/>
  <c r="DY52" i="1"/>
  <c r="DX52" i="1"/>
  <c r="DW52" i="1"/>
  <c r="DV52" i="1"/>
  <c r="DU52" i="1"/>
  <c r="DT52" i="1"/>
  <c r="DS52" i="1"/>
  <c r="EX52" i="2"/>
  <c r="EW52" i="2"/>
  <c r="EV52" i="2"/>
  <c r="EU52" i="2"/>
  <c r="ET52" i="2"/>
  <c r="ES52" i="2"/>
  <c r="ER52" i="2"/>
  <c r="EQ52" i="2"/>
  <c r="EP52" i="2"/>
  <c r="EO52" i="2"/>
  <c r="EN52" i="2"/>
  <c r="EM52" i="2"/>
  <c r="EL52" i="2"/>
  <c r="EK52" i="2"/>
  <c r="EJ52" i="2"/>
  <c r="EI52" i="2"/>
  <c r="EH52" i="2"/>
  <c r="EG52" i="2"/>
  <c r="EF52" i="2"/>
  <c r="EE52" i="2"/>
  <c r="ED52" i="2"/>
  <c r="EC52" i="2"/>
  <c r="EB52" i="2"/>
  <c r="EA52" i="2"/>
  <c r="DZ52" i="2"/>
  <c r="DY52" i="2"/>
  <c r="DX52" i="2"/>
  <c r="DW52" i="2"/>
  <c r="DV52" i="2"/>
  <c r="DU52" i="2"/>
  <c r="DT52" i="2"/>
  <c r="DS52" i="2"/>
  <c r="DR52" i="1"/>
  <c r="DR52" i="2"/>
  <c r="DJ155" i="1"/>
  <c r="DI155" i="1"/>
  <c r="DH155" i="1"/>
  <c r="DG155" i="1"/>
  <c r="DF155" i="1"/>
  <c r="DE155" i="1"/>
  <c r="DD155" i="1"/>
  <c r="DC155" i="1"/>
  <c r="DB155" i="1"/>
  <c r="DA155" i="1"/>
  <c r="CZ155" i="1"/>
  <c r="CY155" i="1"/>
  <c r="CX155" i="1"/>
  <c r="CW155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DJ155" i="2"/>
  <c r="DI155" i="2"/>
  <c r="DH155" i="2"/>
  <c r="DG155" i="2"/>
  <c r="DF155" i="2"/>
  <c r="DE155" i="2"/>
  <c r="DD155" i="2"/>
  <c r="DC155" i="2"/>
  <c r="DB155" i="2"/>
  <c r="DA155" i="2"/>
  <c r="CZ155" i="2"/>
  <c r="CY155" i="2"/>
  <c r="CX155" i="2"/>
  <c r="CW155" i="2"/>
  <c r="CV155" i="2"/>
  <c r="CU155" i="2"/>
  <c r="CT155" i="2"/>
  <c r="CS155" i="2"/>
  <c r="CR155" i="2"/>
  <c r="CQ155" i="2"/>
  <c r="CP155" i="2"/>
  <c r="CO155" i="2"/>
  <c r="CN155" i="2"/>
  <c r="CM155" i="2"/>
  <c r="CL155" i="2"/>
  <c r="CK155" i="2"/>
  <c r="CJ155" i="2"/>
  <c r="CI155" i="2"/>
  <c r="CH155" i="2"/>
  <c r="CG155" i="2"/>
  <c r="CF155" i="2"/>
  <c r="CE155" i="2"/>
  <c r="CD155" i="1"/>
  <c r="CD155" i="2"/>
  <c r="DJ137" i="1"/>
  <c r="DI137" i="1"/>
  <c r="DH137" i="1"/>
  <c r="DG137" i="1"/>
  <c r="DF137" i="1"/>
  <c r="DE137" i="1"/>
  <c r="DD137" i="1"/>
  <c r="DC137" i="1"/>
  <c r="DB137" i="1"/>
  <c r="DA137" i="1"/>
  <c r="CZ137" i="1"/>
  <c r="CY137" i="1"/>
  <c r="CX137" i="1"/>
  <c r="CW137" i="1"/>
  <c r="CV137" i="1"/>
  <c r="CU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DJ137" i="2"/>
  <c r="DI137" i="2"/>
  <c r="DH137" i="2"/>
  <c r="DG137" i="2"/>
  <c r="DF137" i="2"/>
  <c r="DE137" i="2"/>
  <c r="DD137" i="2"/>
  <c r="DC137" i="2"/>
  <c r="DB137" i="2"/>
  <c r="DA137" i="2"/>
  <c r="CZ137" i="2"/>
  <c r="CY137" i="2"/>
  <c r="CX137" i="2"/>
  <c r="CW137" i="2"/>
  <c r="CV137" i="2"/>
  <c r="CU137" i="2"/>
  <c r="CT137" i="2"/>
  <c r="CS137" i="2"/>
  <c r="CR137" i="2"/>
  <c r="CQ137" i="2"/>
  <c r="CP137" i="2"/>
  <c r="CO137" i="2"/>
  <c r="CN137" i="2"/>
  <c r="CM137" i="2"/>
  <c r="CL137" i="2"/>
  <c r="CK137" i="2"/>
  <c r="CJ137" i="2"/>
  <c r="CI137" i="2"/>
  <c r="CH137" i="2"/>
  <c r="CG137" i="2"/>
  <c r="CF137" i="2"/>
  <c r="CE137" i="2"/>
  <c r="CD137" i="1"/>
  <c r="CD137" i="2"/>
  <c r="CC154" i="1"/>
  <c r="CC154" i="2"/>
  <c r="CC136" i="1"/>
  <c r="CC136" i="2"/>
  <c r="CC34" i="1"/>
  <c r="CC34" i="2"/>
  <c r="DQ19" i="1"/>
  <c r="DQ19" i="2"/>
  <c r="CC72" i="1"/>
  <c r="CC72" i="2"/>
  <c r="AP3" i="1"/>
  <c r="AP3" i="2"/>
  <c r="B19" i="1"/>
  <c r="B19" i="2"/>
  <c r="CC205" i="2"/>
  <c r="CC174" i="2"/>
  <c r="CC100" i="2"/>
  <c r="B53" i="2"/>
  <c r="CC52" i="2"/>
  <c r="DQ51" i="2"/>
  <c r="AR29" i="2"/>
  <c r="AS29" i="2" s="1"/>
  <c r="AT29" i="2" s="1"/>
  <c r="AU29" i="2" s="1"/>
  <c r="AV29" i="2" s="1"/>
  <c r="AW29" i="2" s="1"/>
  <c r="AX29" i="2" s="1"/>
  <c r="AY29" i="2" s="1"/>
  <c r="AZ29" i="2" s="1"/>
  <c r="BA29" i="2" s="1"/>
  <c r="BB29" i="2" s="1"/>
  <c r="BC29" i="2" s="1"/>
  <c r="BD29" i="2" s="1"/>
  <c r="BE29" i="2" s="1"/>
  <c r="BF29" i="2" s="1"/>
  <c r="BG29" i="2" s="1"/>
  <c r="BH29" i="2" s="1"/>
  <c r="BI29" i="2" s="1"/>
  <c r="BJ29" i="2" s="1"/>
  <c r="BK29" i="2" s="1"/>
  <c r="BL29" i="2" s="1"/>
  <c r="BM29" i="2" s="1"/>
  <c r="BN29" i="2" s="1"/>
  <c r="BO29" i="2" s="1"/>
  <c r="BP29" i="2" s="1"/>
  <c r="BQ29" i="2" s="1"/>
  <c r="BR29" i="2" s="1"/>
  <c r="BS29" i="2" s="1"/>
  <c r="BT29" i="2" s="1"/>
  <c r="BU29" i="2" s="1"/>
  <c r="BV29" i="2" s="1"/>
  <c r="BW29" i="2" s="1"/>
  <c r="AQ29" i="2"/>
  <c r="AP28" i="2"/>
  <c r="EX20" i="2"/>
  <c r="EW20" i="2"/>
  <c r="EV20" i="2"/>
  <c r="EU20" i="2"/>
  <c r="ET20" i="2"/>
  <c r="ES20" i="2"/>
  <c r="ER20" i="2"/>
  <c r="EQ20" i="2"/>
  <c r="EP20" i="2"/>
  <c r="EO20" i="2"/>
  <c r="EN20" i="2"/>
  <c r="EM20" i="2"/>
  <c r="EL20" i="2"/>
  <c r="EK20" i="2"/>
  <c r="EJ20" i="2"/>
  <c r="EI20" i="2"/>
  <c r="EH20" i="2"/>
  <c r="EG20" i="2"/>
  <c r="EF20" i="2"/>
  <c r="EE20" i="2"/>
  <c r="ED20" i="2"/>
  <c r="EC20" i="2"/>
  <c r="EB20" i="2"/>
  <c r="EA20" i="2"/>
  <c r="DZ20" i="2"/>
  <c r="DY20" i="2"/>
  <c r="DX20" i="2"/>
  <c r="DW20" i="2"/>
  <c r="DV20" i="2"/>
  <c r="DU20" i="2"/>
  <c r="DT20" i="2"/>
  <c r="DS20" i="2"/>
  <c r="DR20" i="2"/>
  <c r="DJ16" i="2"/>
  <c r="DI16" i="2"/>
  <c r="DH16" i="2"/>
  <c r="DG16" i="2"/>
  <c r="DF16" i="2"/>
  <c r="DE16" i="2"/>
  <c r="DD16" i="2"/>
  <c r="DC16" i="2"/>
  <c r="DB16" i="2"/>
  <c r="DA16" i="2"/>
  <c r="CZ16" i="2"/>
  <c r="CY16" i="2"/>
  <c r="CX16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5" i="2"/>
  <c r="EX4" i="2"/>
  <c r="EW4" i="2"/>
  <c r="EV4" i="2"/>
  <c r="EU4" i="2"/>
  <c r="ET4" i="2"/>
  <c r="ES4" i="2"/>
  <c r="ER4" i="2"/>
  <c r="EQ4" i="2"/>
  <c r="EP4" i="2"/>
  <c r="EO4" i="2"/>
  <c r="EN4" i="2"/>
  <c r="EM4" i="2"/>
  <c r="EL4" i="2"/>
  <c r="EK4" i="2"/>
  <c r="EJ4" i="2"/>
  <c r="EI4" i="2"/>
  <c r="EH4" i="2"/>
  <c r="EG4" i="2"/>
  <c r="EF4" i="2"/>
  <c r="EE4" i="2"/>
  <c r="ED4" i="2"/>
  <c r="EC4" i="2"/>
  <c r="EB4" i="2"/>
  <c r="EA4" i="2"/>
  <c r="DZ4" i="2"/>
  <c r="DY4" i="2"/>
  <c r="DX4" i="2"/>
  <c r="DW4" i="2"/>
  <c r="DV4" i="2"/>
  <c r="DU4" i="2"/>
  <c r="DT4" i="2"/>
  <c r="DS4" i="2"/>
  <c r="DR4" i="2"/>
  <c r="DJ4" i="2"/>
  <c r="DI4" i="2"/>
  <c r="DH4" i="2"/>
  <c r="DG4" i="2"/>
  <c r="DF4" i="2"/>
  <c r="DE4" i="2"/>
  <c r="DD4" i="2"/>
  <c r="DC4" i="2"/>
  <c r="DB4" i="2"/>
  <c r="DA4" i="2"/>
  <c r="CZ4" i="2"/>
  <c r="CY4" i="2"/>
  <c r="CX4" i="2"/>
  <c r="CW4" i="2"/>
  <c r="CV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AS4" i="2"/>
  <c r="AT4" i="2" s="1"/>
  <c r="AU4" i="2" s="1"/>
  <c r="AV4" i="2" s="1"/>
  <c r="AW4" i="2" s="1"/>
  <c r="AX4" i="2" s="1"/>
  <c r="AY4" i="2" s="1"/>
  <c r="AZ4" i="2" s="1"/>
  <c r="BA4" i="2" s="1"/>
  <c r="BB4" i="2" s="1"/>
  <c r="BC4" i="2" s="1"/>
  <c r="BD4" i="2" s="1"/>
  <c r="BE4" i="2" s="1"/>
  <c r="BF4" i="2" s="1"/>
  <c r="BG4" i="2" s="1"/>
  <c r="BH4" i="2" s="1"/>
  <c r="BI4" i="2" s="1"/>
  <c r="BJ4" i="2" s="1"/>
  <c r="BK4" i="2" s="1"/>
  <c r="BL4" i="2" s="1"/>
  <c r="BM4" i="2" s="1"/>
  <c r="BN4" i="2" s="1"/>
  <c r="BO4" i="2" s="1"/>
  <c r="BP4" i="2" s="1"/>
  <c r="BQ4" i="2" s="1"/>
  <c r="BR4" i="2" s="1"/>
  <c r="BS4" i="2" s="1"/>
  <c r="BT4" i="2" s="1"/>
  <c r="BU4" i="2" s="1"/>
  <c r="BV4" i="2" s="1"/>
  <c r="BW4" i="2" s="1"/>
  <c r="AR4" i="2"/>
  <c r="AQ4" i="2"/>
  <c r="DQ3" i="2"/>
  <c r="CC3" i="2"/>
  <c r="B3" i="2"/>
</calcChain>
</file>

<file path=xl/sharedStrings.xml><?xml version="1.0" encoding="utf-8"?>
<sst xmlns="http://schemas.openxmlformats.org/spreadsheetml/2006/main" count="182" uniqueCount="65">
  <si>
    <t>📊 Bilan des Effectifs par Cours</t>
  </si>
  <si>
    <t>Jour</t>
  </si>
  <si>
    <t>Créneau Horaire</t>
  </si>
  <si>
    <t>Intitulé du Cours</t>
  </si>
  <si>
    <t>Nombre d'Élèves</t>
  </si>
  <si>
    <t>Lundi</t>
  </si>
  <si>
    <t>18h-20h</t>
  </si>
  <si>
    <t>Compétition U11-U13</t>
  </si>
  <si>
    <t>18h-20h30</t>
  </si>
  <si>
    <t>Compétition U15-U19</t>
  </si>
  <si>
    <t>18h30-20h00</t>
  </si>
  <si>
    <t>Collègiens</t>
  </si>
  <si>
    <t>Mardi</t>
  </si>
  <si>
    <t>18h30-20h</t>
  </si>
  <si>
    <t>Lycéens</t>
  </si>
  <si>
    <t>20h-22h</t>
  </si>
  <si>
    <t>Adulte</t>
  </si>
  <si>
    <t>Mercredi</t>
  </si>
  <si>
    <t>09h30-10h30</t>
  </si>
  <si>
    <t>Enfants 2019-2020</t>
  </si>
  <si>
    <t>10h30-12h</t>
  </si>
  <si>
    <t>Enfants 2016-2018</t>
  </si>
  <si>
    <t>13h-14h30</t>
  </si>
  <si>
    <t>Perf U11-U13</t>
  </si>
  <si>
    <t>Collégiens</t>
  </si>
  <si>
    <t>14h30-16h</t>
  </si>
  <si>
    <t>Perf U13-U17</t>
  </si>
  <si>
    <t>14h3016h</t>
  </si>
  <si>
    <t>16h-17h</t>
  </si>
  <si>
    <t>16h-18h</t>
  </si>
  <si>
    <t>20h22h</t>
  </si>
  <si>
    <t>Bloc U19 Adulte Perf</t>
  </si>
  <si>
    <t>Vendredi</t>
  </si>
  <si>
    <t>Compétition U15 U19</t>
  </si>
  <si>
    <t>Diff U19 Adulte Perf</t>
  </si>
  <si>
    <t>Adrien</t>
  </si>
  <si>
    <t>David L. 
Magali F.</t>
  </si>
  <si>
    <t>Clément DLF</t>
  </si>
  <si>
    <t>Nombre d'éléve :</t>
  </si>
  <si>
    <t>Nom</t>
  </si>
  <si>
    <t>Prénom</t>
  </si>
  <si>
    <t>Stéphane L.</t>
  </si>
  <si>
    <t>Stéphane</t>
  </si>
  <si>
    <t>Magaly
Olivier B.</t>
  </si>
  <si>
    <t>Camille</t>
  </si>
  <si>
    <t>Théo</t>
  </si>
  <si>
    <t>Thibault N.</t>
  </si>
  <si>
    <t>Jours férié</t>
  </si>
  <si>
    <t>mercredi 11 novembre 2026 2026</t>
  </si>
  <si>
    <t>Armistice 1918</t>
  </si>
  <si>
    <t>lundi 29 mars 2027 2027</t>
  </si>
  <si>
    <t>Lundi de Pâques</t>
  </si>
  <si>
    <t>jeudi 6 mai 2027 2027</t>
  </si>
  <si>
    <t>Jeudi de l'Ascension</t>
  </si>
  <si>
    <t>lundi 17 mai 2027 2027</t>
  </si>
  <si>
    <t>Lundi de Pentecôte</t>
  </si>
  <si>
    <t>Vacance Zone A</t>
  </si>
  <si>
    <t>Début des cours</t>
  </si>
  <si>
    <t>Toussaint</t>
  </si>
  <si>
    <t>Noel</t>
  </si>
  <si>
    <t>Hiver</t>
  </si>
  <si>
    <t>Printemps</t>
  </si>
  <si>
    <t>Fin dé cours</t>
  </si>
  <si>
    <t>Fermeture salle</t>
  </si>
  <si>
    <t>Championnat régional U11-U13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</si>
</sst>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15" x14ac:knownFonts="1">
    <font>
      <sz val="11"/>
      <color theme="1"/>
      <name val="Aptos Narrow"/>
      <family val="2"/>
      <scheme val="minor"/>
    </font>
    <font>
      <b/>
      <sz val="8"/>
      <color rgb="FF374151"/>
      <name val="Segoe UI"/>
    </font>
    <font>
      <sz val="9"/>
      <color rgb="FF1F2937"/>
      <name val="Segoe UI"/>
    </font>
    <font>
      <b/>
      <sz val="11"/>
      <color theme="3"/>
      <name val="Aptos Narrow"/>
      <family val="2"/>
      <scheme val="minor"/>
    </font>
    <font>
      <b/>
      <sz val="6"/>
      <color rgb="FF374151"/>
      <name val="Segoe UI"/>
      <family val="2"/>
    </font>
    <font>
      <b/>
      <sz val="16"/>
      <color rgb="FF1E3A8A"/>
      <name val="Segoe UI"/>
      <family val="2"/>
    </font>
    <font>
      <b/>
      <sz val="6"/>
      <color rgb="FFFF0000"/>
      <name val="Segoe UI"/>
      <family val="2"/>
    </font>
    <font>
      <b/>
      <sz val="11"/>
      <color theme="3" tint="9.9978637043366805E-2"/>
      <name val="Aptos Narrow"/>
      <family val="2"/>
      <scheme val="minor"/>
    </font>
    <font>
      <b/>
      <sz val="6"/>
      <name val="Segoe UI"/>
      <family val="2"/>
    </font>
    <font>
      <b/>
      <sz val="10"/>
      <color theme="3" tint="9.9978637043366805E-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1F2937"/>
      <name val="Segoe UI"/>
    </font>
    <font>
      <b/>
      <sz val="14"/>
      <color rgb="FF1E3A8A"/>
      <name val="Segoe UI"/>
    </font>
    <font>
      <b/>
      <sz val="11"/>
      <color rgb="FFFFFFFF"/>
      <name val="Segoe UI"/>
    </font>
    <font>
      <sz val="10"/>
      <color rgb="FF1F2937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F2F4F8"/>
        <bgColor rgb="FFF2F4F8"/>
      </patternFill>
    </fill>
    <fill>
      <patternFill patternType="solid">
        <fgColor theme="0"/>
        <bgColor rgb="FFE6EEF8"/>
      </patternFill>
    </fill>
    <fill>
      <patternFill patternType="solid">
        <fgColor rgb="FFFFFFFF"/>
        <bgColor rgb="FFFFFFFF"/>
      </patternFill>
    </fill>
    <fill>
      <patternFill patternType="solid">
        <fgColor rgb="FFEAEAEA"/>
        <bgColor rgb="FFEAEAEA"/>
      </patternFill>
    </fill>
    <fill>
      <patternFill patternType="solid">
        <fgColor rgb="FF1E3A8A"/>
        <bgColor rgb="FF1E3A8A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theme="3" tint="0.249977111117893"/>
      </top>
      <bottom/>
      <diagonal/>
    </border>
    <border>
      <left style="medium">
        <color theme="3" tint="0.249977111117893"/>
      </left>
      <right/>
      <top/>
      <bottom style="medium">
        <color theme="3" tint="0.249977111117893"/>
      </bottom>
      <diagonal/>
    </border>
    <border>
      <left/>
      <right/>
      <top/>
      <bottom style="medium">
        <color theme="3" tint="0.249977111117893"/>
      </bottom>
      <diagonal/>
    </border>
    <border>
      <left/>
      <right style="medium">
        <color theme="3" tint="0.249977111117893"/>
      </right>
      <top style="medium">
        <color theme="3" tint="0.249977111117893"/>
      </top>
      <bottom/>
      <diagonal/>
    </border>
    <border>
      <left/>
      <right style="medium">
        <color theme="3" tint="0.249977111117893"/>
      </right>
      <top/>
      <bottom style="medium">
        <color theme="3" tint="0.249977111117893"/>
      </bottom>
      <diagonal/>
    </border>
    <border>
      <left style="medium">
        <color theme="3" tint="0.249977111117893"/>
      </left>
      <right/>
      <top style="medium">
        <color theme="3" tint="0.249977111117893"/>
      </top>
      <bottom style="medium">
        <color theme="3" tint="0.249977111117893"/>
      </bottom>
      <diagonal/>
    </border>
    <border>
      <left/>
      <right/>
      <top style="medium">
        <color theme="3" tint="0.249977111117893"/>
      </top>
      <bottom style="medium">
        <color theme="3" tint="0.249977111117893"/>
      </bottom>
      <diagonal/>
    </border>
    <border>
      <left/>
      <right style="medium">
        <color theme="3" tint="0.249977111117893"/>
      </right>
      <top style="medium">
        <color theme="3" tint="0.249977111117893"/>
      </top>
      <bottom style="medium">
        <color theme="3" tint="0.249977111117893"/>
      </bottom>
      <diagonal/>
    </border>
    <border>
      <left style="medium">
        <color theme="3" tint="0.249977111117893"/>
      </left>
      <right/>
      <top/>
      <bottom/>
      <diagonal/>
    </border>
    <border>
      <left style="medium">
        <color theme="3" tint="0.249977111117893"/>
      </left>
      <right style="medium">
        <color theme="3" tint="0.249977111117893"/>
      </right>
      <top style="medium">
        <color theme="3" tint="0.249977111117893"/>
      </top>
      <bottom style="medium">
        <color theme="3" tint="0.249977111117893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medium">
        <color theme="3"/>
      </left>
      <right style="thin">
        <color rgb="FFCCCCCC"/>
      </right>
      <top style="medium">
        <color theme="3"/>
      </top>
      <bottom style="double">
        <color rgb="FF1E3A8A"/>
      </bottom>
      <diagonal/>
    </border>
    <border>
      <left style="thin">
        <color rgb="FFCCCCCC"/>
      </left>
      <right style="thin">
        <color rgb="FFCCCCCC"/>
      </right>
      <top style="medium">
        <color theme="3"/>
      </top>
      <bottom style="double">
        <color rgb="FF1E3A8A"/>
      </bottom>
      <diagonal/>
    </border>
    <border>
      <left style="thin">
        <color rgb="FFCCCCCC"/>
      </left>
      <right style="medium">
        <color indexed="64"/>
      </right>
      <top style="medium">
        <color theme="3"/>
      </top>
      <bottom style="double">
        <color rgb="FF1E3A8A"/>
      </bottom>
      <diagonal/>
    </border>
    <border>
      <left/>
      <right style="thin">
        <color rgb="FFCCCCCC"/>
      </right>
      <top style="medium">
        <color theme="3"/>
      </top>
      <bottom style="double">
        <color rgb="FF1E3A8A"/>
      </bottom>
      <diagonal/>
    </border>
    <border>
      <left/>
      <right/>
      <top style="medium">
        <color theme="3"/>
      </top>
      <bottom style="double">
        <color rgb="FF1E3A8A"/>
      </bottom>
      <diagonal/>
    </border>
    <border>
      <left style="thin">
        <color rgb="FFCCCCCC"/>
      </left>
      <right style="medium">
        <color theme="3"/>
      </right>
      <top style="medium">
        <color theme="3"/>
      </top>
      <bottom style="double">
        <color rgb="FF1E3A8A"/>
      </bottom>
      <diagonal/>
    </border>
    <border>
      <left style="medium">
        <color theme="3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theme="3"/>
      </right>
      <top style="thin">
        <color rgb="FFCCCCCC"/>
      </top>
      <bottom style="thin">
        <color rgb="FFCCCCCC"/>
      </bottom>
      <diagonal/>
    </border>
    <border>
      <left style="medium">
        <color theme="3"/>
      </left>
      <right style="thin">
        <color rgb="FFCCCCCC"/>
      </right>
      <top style="thin">
        <color rgb="FFCCCCCC"/>
      </top>
      <bottom style="medium">
        <color theme="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theme="3"/>
      </bottom>
      <diagonal/>
    </border>
    <border>
      <left style="thin">
        <color rgb="FFCCCCCC"/>
      </left>
      <right style="medium">
        <color theme="3"/>
      </right>
      <top style="thin">
        <color rgb="FFCCCCCC"/>
      </top>
      <bottom style="medium">
        <color theme="3"/>
      </bottom>
      <diagonal/>
    </border>
    <border>
      <left style="medium">
        <color theme="3"/>
      </left>
      <right style="thin">
        <color rgb="FFCCCCCC"/>
      </right>
      <top style="medium">
        <color theme="3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theme="3"/>
      </top>
      <bottom style="thin">
        <color rgb="FFCCCCCC"/>
      </bottom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/>
      <right style="medium">
        <color theme="3"/>
      </right>
      <top/>
      <bottom/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medium">
        <color theme="3"/>
      </left>
      <right/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 style="medium">
        <color theme="3" tint="0.249977111117893"/>
      </right>
      <top/>
      <bottom/>
      <diagonal/>
    </border>
    <border>
      <left style="medium">
        <color theme="4" tint="-0.249977111117893"/>
      </left>
      <right/>
      <top style="medium">
        <color theme="3" tint="0.249977111117893"/>
      </top>
      <bottom/>
      <diagonal/>
    </border>
    <border>
      <left style="medium">
        <color theme="3"/>
      </left>
      <right style="thin">
        <color rgb="FFCCCCCC"/>
      </right>
      <top style="medium">
        <color theme="3"/>
      </top>
      <bottom/>
      <diagonal/>
    </border>
    <border>
      <left style="thin">
        <color rgb="FFCCCCCC"/>
      </left>
      <right style="thin">
        <color rgb="FFCCCCCC"/>
      </right>
      <top style="medium">
        <color theme="3"/>
      </top>
      <bottom/>
      <diagonal/>
    </border>
    <border>
      <left style="thin">
        <color rgb="FFCCCCCC"/>
      </left>
      <right style="medium">
        <color indexed="64"/>
      </right>
      <top style="medium">
        <color theme="3"/>
      </top>
      <bottom/>
      <diagonal/>
    </border>
    <border>
      <left/>
      <right style="thin">
        <color rgb="FFCCCCCC"/>
      </right>
      <top style="medium">
        <color theme="3"/>
      </top>
      <bottom/>
      <diagonal/>
    </border>
    <border>
      <left style="thin">
        <color rgb="FFCCCCCC"/>
      </left>
      <right style="medium">
        <color theme="3"/>
      </right>
      <top style="medium">
        <color theme="3"/>
      </top>
      <bottom/>
      <diagonal/>
    </border>
    <border>
      <left/>
      <right/>
      <top style="medium">
        <color theme="3"/>
      </top>
      <bottom style="medium">
        <color theme="3" tint="0.249977111117893"/>
      </bottom>
      <diagonal/>
    </border>
    <border>
      <left style="medium">
        <color theme="3" tint="0.249977111117893"/>
      </left>
      <right style="medium">
        <color indexed="64"/>
      </right>
      <top style="medium">
        <color theme="3" tint="0.249977111117893"/>
      </top>
      <bottom style="medium">
        <color theme="3" tint="0.249977111117893"/>
      </bottom>
      <diagonal/>
    </border>
    <border>
      <left/>
      <right style="medium">
        <color indexed="64"/>
      </right>
      <top style="medium">
        <color theme="3" tint="0.249977111117893"/>
      </top>
      <bottom style="medium">
        <color theme="3" tint="0.249977111117893"/>
      </bottom>
      <diagonal/>
    </border>
  </borders>
  <cellStyleXfs count="1">
    <xf numFmtId="0" fontId="0" fillId="0" borderId="12"/>
  </cellStyleXfs>
  <cellXfs count="98">
    <xf numFmtId="0" fontId="0" fillId="0" borderId="0" xfId="0" applyBorder="1"/>
    <xf numFmtId="0" fontId="0" fillId="0" borderId="1" xfId="0" applyBorder="1"/>
    <xf numFmtId="14" fontId="0" fillId="0" borderId="0" xfId="0" applyNumberFormat="1" applyBorder="1"/>
    <xf numFmtId="0" fontId="0" fillId="0" borderId="10" xfId="0" applyBorder="1"/>
    <xf numFmtId="0" fontId="10" fillId="0" borderId="0" xfId="0" applyFont="1" applyBorder="1"/>
    <xf numFmtId="0" fontId="12" fillId="0" borderId="0" xfId="0" applyFont="1" applyBorder="1"/>
    <xf numFmtId="0" fontId="14" fillId="4" borderId="13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left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left" vertical="center"/>
    </xf>
    <xf numFmtId="0" fontId="11" fillId="4" borderId="13" xfId="0" applyFont="1" applyFill="1" applyBorder="1" applyAlignment="1">
      <alignment horizontal="left" vertical="center"/>
    </xf>
    <xf numFmtId="0" fontId="0" fillId="4" borderId="13" xfId="0" applyFill="1" applyBorder="1"/>
    <xf numFmtId="0" fontId="11" fillId="5" borderId="13" xfId="0" applyFont="1" applyFill="1" applyBorder="1" applyAlignment="1">
      <alignment horizontal="left" vertical="center"/>
    </xf>
    <xf numFmtId="0" fontId="0" fillId="5" borderId="13" xfId="0" applyFill="1" applyBorder="1"/>
    <xf numFmtId="0" fontId="0" fillId="0" borderId="14" xfId="0" applyBorder="1"/>
    <xf numFmtId="0" fontId="10" fillId="0" borderId="14" xfId="0" applyFont="1" applyBorder="1"/>
    <xf numFmtId="0" fontId="2" fillId="0" borderId="14" xfId="0" applyFont="1" applyBorder="1" applyAlignment="1">
      <alignment horizontal="left" vertical="center"/>
    </xf>
    <xf numFmtId="0" fontId="0" fillId="0" borderId="4" xfId="0" applyBorder="1"/>
    <xf numFmtId="0" fontId="5" fillId="3" borderId="11" xfId="0" applyFont="1" applyFill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3" borderId="7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3" fillId="0" borderId="11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0" borderId="12" xfId="0" applyAlignment="1">
      <alignment horizontal="center"/>
    </xf>
    <xf numFmtId="0" fontId="0" fillId="0" borderId="0" xfId="0" applyBorder="1"/>
    <xf numFmtId="0" fontId="14" fillId="5" borderId="15" xfId="0" applyFont="1" applyFill="1" applyBorder="1" applyAlignment="1">
      <alignment horizontal="center" vertical="center"/>
    </xf>
    <xf numFmtId="0" fontId="14" fillId="5" borderId="15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164" fontId="4" fillId="2" borderId="17" xfId="0" applyNumberFormat="1" applyFont="1" applyFill="1" applyBorder="1" applyAlignment="1">
      <alignment horizontal="center" vertical="center"/>
    </xf>
    <xf numFmtId="164" fontId="4" fillId="2" borderId="18" xfId="0" applyNumberFormat="1" applyFont="1" applyFill="1" applyBorder="1" applyAlignment="1">
      <alignment horizontal="center" vertical="center"/>
    </xf>
    <xf numFmtId="164" fontId="4" fillId="2" borderId="19" xfId="0" applyNumberFormat="1" applyFont="1" applyFill="1" applyBorder="1" applyAlignment="1">
      <alignment horizontal="center" vertical="center"/>
    </xf>
    <xf numFmtId="164" fontId="6" fillId="2" borderId="17" xfId="0" applyNumberFormat="1" applyFont="1" applyFill="1" applyBorder="1" applyAlignment="1">
      <alignment horizontal="center" vertical="center"/>
    </xf>
    <xf numFmtId="164" fontId="4" fillId="2" borderId="20" xfId="0" applyNumberFormat="1" applyFont="1" applyFill="1" applyBorder="1" applyAlignment="1">
      <alignment horizontal="center" vertical="center"/>
    </xf>
    <xf numFmtId="164" fontId="4" fillId="2" borderId="21" xfId="0" applyNumberFormat="1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left" vertical="center"/>
    </xf>
    <xf numFmtId="0" fontId="0" fillId="4" borderId="23" xfId="0" applyFill="1" applyBorder="1"/>
    <xf numFmtId="0" fontId="11" fillId="5" borderId="22" xfId="0" applyFont="1" applyFill="1" applyBorder="1" applyAlignment="1">
      <alignment horizontal="left" vertical="center"/>
    </xf>
    <xf numFmtId="0" fontId="0" fillId="5" borderId="23" xfId="0" applyFill="1" applyBorder="1"/>
    <xf numFmtId="0" fontId="11" fillId="4" borderId="24" xfId="0" applyFont="1" applyFill="1" applyBorder="1" applyAlignment="1">
      <alignment horizontal="left" vertical="center"/>
    </xf>
    <xf numFmtId="0" fontId="11" fillId="4" borderId="25" xfId="0" applyFont="1" applyFill="1" applyBorder="1" applyAlignment="1">
      <alignment horizontal="left" vertical="center"/>
    </xf>
    <xf numFmtId="0" fontId="0" fillId="4" borderId="25" xfId="0" applyFill="1" applyBorder="1"/>
    <xf numFmtId="0" fontId="0" fillId="4" borderId="26" xfId="0" applyFill="1" applyBorder="1"/>
    <xf numFmtId="0" fontId="13" fillId="6" borderId="27" xfId="0" applyFont="1" applyFill="1" applyBorder="1" applyAlignment="1">
      <alignment horizontal="center" vertical="center"/>
    </xf>
    <xf numFmtId="0" fontId="13" fillId="6" borderId="28" xfId="0" applyFont="1" applyFill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14" fillId="4" borderId="22" xfId="0" applyFont="1" applyFill="1" applyBorder="1" applyAlignment="1">
      <alignment horizontal="center" vertical="center"/>
    </xf>
    <xf numFmtId="0" fontId="0" fillId="0" borderId="31" xfId="0" applyBorder="1"/>
    <xf numFmtId="0" fontId="14" fillId="5" borderId="22" xfId="0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left" vertical="center"/>
    </xf>
    <xf numFmtId="0" fontId="0" fillId="0" borderId="32" xfId="0" applyBorder="1"/>
    <xf numFmtId="0" fontId="0" fillId="0" borderId="33" xfId="0" applyBorder="1"/>
    <xf numFmtId="0" fontId="14" fillId="4" borderId="34" xfId="0" applyFont="1" applyFill="1" applyBorder="1" applyAlignment="1">
      <alignment horizontal="center" vertical="center"/>
    </xf>
    <xf numFmtId="0" fontId="14" fillId="4" borderId="34" xfId="0" applyFont="1" applyFill="1" applyBorder="1" applyAlignment="1">
      <alignment horizontal="left" vertical="center"/>
    </xf>
    <xf numFmtId="0" fontId="14" fillId="5" borderId="27" xfId="0" applyFont="1" applyFill="1" applyBorder="1" applyAlignment="1">
      <alignment horizontal="center" vertical="center"/>
    </xf>
    <xf numFmtId="0" fontId="14" fillId="5" borderId="28" xfId="0" applyFont="1" applyFill="1" applyBorder="1" applyAlignment="1">
      <alignment horizontal="center" vertical="center"/>
    </xf>
    <xf numFmtId="0" fontId="14" fillId="5" borderId="28" xfId="0" applyFont="1" applyFill="1" applyBorder="1" applyAlignment="1">
      <alignment horizontal="left" vertical="center"/>
    </xf>
    <xf numFmtId="0" fontId="0" fillId="0" borderId="35" xfId="0" applyBorder="1"/>
    <xf numFmtId="0" fontId="0" fillId="0" borderId="36" xfId="0" applyBorder="1"/>
    <xf numFmtId="0" fontId="0" fillId="0" borderId="37" xfId="0" applyBorder="1"/>
    <xf numFmtId="164" fontId="8" fillId="2" borderId="17" xfId="0" applyNumberFormat="1" applyFont="1" applyFill="1" applyBorder="1" applyAlignment="1">
      <alignment horizontal="center" vertical="center"/>
    </xf>
    <xf numFmtId="0" fontId="11" fillId="5" borderId="24" xfId="0" applyFont="1" applyFill="1" applyBorder="1" applyAlignment="1">
      <alignment horizontal="left" vertical="center"/>
    </xf>
    <xf numFmtId="0" fontId="11" fillId="5" borderId="25" xfId="0" applyFont="1" applyFill="1" applyBorder="1" applyAlignment="1">
      <alignment horizontal="left" vertical="center"/>
    </xf>
    <xf numFmtId="0" fontId="0" fillId="5" borderId="25" xfId="0" applyFill="1" applyBorder="1"/>
    <xf numFmtId="0" fontId="0" fillId="5" borderId="26" xfId="0" applyFill="1" applyBorder="1"/>
    <xf numFmtId="0" fontId="11" fillId="5" borderId="15" xfId="0" applyFont="1" applyFill="1" applyBorder="1" applyAlignment="1">
      <alignment horizontal="left" vertical="center"/>
    </xf>
    <xf numFmtId="0" fontId="0" fillId="5" borderId="15" xfId="0" applyFill="1" applyBorder="1"/>
    <xf numFmtId="164" fontId="6" fillId="2" borderId="19" xfId="0" applyNumberFormat="1" applyFont="1" applyFill="1" applyBorder="1" applyAlignment="1">
      <alignment horizontal="center" vertical="center"/>
    </xf>
    <xf numFmtId="0" fontId="0" fillId="0" borderId="10" xfId="0" applyBorder="1"/>
    <xf numFmtId="0" fontId="0" fillId="0" borderId="14" xfId="0" applyBorder="1"/>
    <xf numFmtId="0" fontId="0" fillId="0" borderId="38" xfId="0" applyBorder="1"/>
    <xf numFmtId="0" fontId="7" fillId="0" borderId="39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164" fontId="8" fillId="2" borderId="19" xfId="0" applyNumberFormat="1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left" vertical="center"/>
    </xf>
    <xf numFmtId="0" fontId="1" fillId="2" borderId="41" xfId="0" applyFont="1" applyFill="1" applyBorder="1" applyAlignment="1">
      <alignment horizontal="left" vertical="center"/>
    </xf>
    <xf numFmtId="164" fontId="4" fillId="2" borderId="41" xfId="0" applyNumberFormat="1" applyFont="1" applyFill="1" applyBorder="1" applyAlignment="1">
      <alignment horizontal="center" vertical="center"/>
    </xf>
    <xf numFmtId="164" fontId="4" fillId="2" borderId="42" xfId="0" applyNumberFormat="1" applyFont="1" applyFill="1" applyBorder="1" applyAlignment="1">
      <alignment horizontal="center" vertical="center"/>
    </xf>
    <xf numFmtId="164" fontId="4" fillId="2" borderId="43" xfId="0" applyNumberFormat="1" applyFont="1" applyFill="1" applyBorder="1" applyAlignment="1">
      <alignment horizontal="center" vertical="center"/>
    </xf>
    <xf numFmtId="164" fontId="6" fillId="2" borderId="43" xfId="0" applyNumberFormat="1" applyFont="1" applyFill="1" applyBorder="1" applyAlignment="1">
      <alignment horizontal="center" vertical="center"/>
    </xf>
    <xf numFmtId="164" fontId="6" fillId="2" borderId="41" xfId="0" applyNumberFormat="1" applyFont="1" applyFill="1" applyBorder="1" applyAlignment="1">
      <alignment horizontal="center" vertical="center"/>
    </xf>
    <xf numFmtId="164" fontId="4" fillId="2" borderId="44" xfId="0" applyNumberFormat="1" applyFont="1" applyFill="1" applyBorder="1" applyAlignment="1">
      <alignment horizontal="center" vertical="center"/>
    </xf>
    <xf numFmtId="0" fontId="0" fillId="0" borderId="45" xfId="0" applyBorder="1"/>
    <xf numFmtId="0" fontId="7" fillId="0" borderId="46" xfId="0" applyFont="1" applyBorder="1" applyAlignment="1">
      <alignment horizontal="center" vertical="center"/>
    </xf>
    <xf numFmtId="0" fontId="0" fillId="0" borderId="4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72</xdr:col>
      <xdr:colOff>207819</xdr:colOff>
      <xdr:row>0</xdr:row>
      <xdr:rowOff>69274</xdr:rowOff>
    </xdr:from>
    <xdr:to>
      <xdr:col>74</xdr:col>
      <xdr:colOff>303069</xdr:colOff>
      <xdr:row>2</xdr:row>
      <xdr:rowOff>83927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466637" y="69274"/>
          <a:ext cx="787977" cy="7939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100</xdr:col>
      <xdr:colOff>86592</xdr:colOff>
      <xdr:row>150</xdr:row>
      <xdr:rowOff>120871</xdr:rowOff>
    </xdr:from>
    <xdr:to>
      <xdr:col>102</xdr:col>
      <xdr:colOff>155865</xdr:colOff>
      <xdr:row>153</xdr:row>
      <xdr:rowOff>138189</xdr:rowOff>
    </xdr:to>
    <xdr:pic>
      <xdr:nvPicPr>
        <xdr:cNvPr id="5" name="Image 4" descr="Collége B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8203910" y="31951689"/>
          <a:ext cx="762000" cy="762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100</xdr:col>
      <xdr:colOff>86593</xdr:colOff>
      <xdr:row>170</xdr:row>
      <xdr:rowOff>120870</xdr:rowOff>
    </xdr:from>
    <xdr:to>
      <xdr:col>102</xdr:col>
      <xdr:colOff>207819</xdr:colOff>
      <xdr:row>173</xdr:row>
      <xdr:rowOff>190142</xdr:rowOff>
    </xdr:to>
    <xdr:pic>
      <xdr:nvPicPr>
        <xdr:cNvPr id="7" name="Image 6" descr="Enfant 16-18 Groupe B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8203911" y="36004143"/>
          <a:ext cx="813953" cy="81395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32</xdr:col>
      <xdr:colOff>51956</xdr:colOff>
      <xdr:row>48</xdr:row>
      <xdr:rowOff>311728</xdr:rowOff>
    </xdr:from>
    <xdr:to>
      <xdr:col>34</xdr:col>
      <xdr:colOff>329047</xdr:colOff>
      <xdr:row>52</xdr:row>
      <xdr:rowOff>86591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295911" y="11274137"/>
          <a:ext cx="969818" cy="96981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71</xdr:col>
      <xdr:colOff>277092</xdr:colOff>
      <xdr:row>23</xdr:row>
      <xdr:rowOff>0</xdr:rowOff>
    </xdr:from>
    <xdr:to>
      <xdr:col>74</xdr:col>
      <xdr:colOff>311729</xdr:colOff>
      <xdr:row>27</xdr:row>
      <xdr:rowOff>121227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7189547" y="5680364"/>
          <a:ext cx="1073727" cy="107372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111</xdr:col>
      <xdr:colOff>16961</xdr:colOff>
      <xdr:row>48</xdr:row>
      <xdr:rowOff>138189</xdr:rowOff>
    </xdr:from>
    <xdr:to>
      <xdr:col>114</xdr:col>
      <xdr:colOff>0</xdr:colOff>
      <xdr:row>51</xdr:row>
      <xdr:rowOff>173184</xdr:rowOff>
    </xdr:to>
    <xdr:pic>
      <xdr:nvPicPr>
        <xdr:cNvPr id="11" name="Imag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1944279" y="11100598"/>
          <a:ext cx="1022130" cy="102213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110</xdr:col>
      <xdr:colOff>207818</xdr:colOff>
      <xdr:row>66</xdr:row>
      <xdr:rowOff>86234</xdr:rowOff>
    </xdr:from>
    <xdr:to>
      <xdr:col>114</xdr:col>
      <xdr:colOff>34637</xdr:colOff>
      <xdr:row>71</xdr:row>
      <xdr:rowOff>138188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1788773" y="14979870"/>
          <a:ext cx="1212273" cy="121227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114</xdr:col>
      <xdr:colOff>103910</xdr:colOff>
      <xdr:row>99</xdr:row>
      <xdr:rowOff>190144</xdr:rowOff>
    </xdr:from>
    <xdr:to>
      <xdr:col>117</xdr:col>
      <xdr:colOff>17319</xdr:colOff>
      <xdr:row>103</xdr:row>
      <xdr:rowOff>190144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3070319" y="21803235"/>
          <a:ext cx="952500" cy="9525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114</xdr:col>
      <xdr:colOff>86591</xdr:colOff>
      <xdr:row>136</xdr:row>
      <xdr:rowOff>0</xdr:rowOff>
    </xdr:from>
    <xdr:to>
      <xdr:col>118</xdr:col>
      <xdr:colOff>207461</xdr:colOff>
      <xdr:row>143</xdr:row>
      <xdr:rowOff>138189</xdr:rowOff>
    </xdr:to>
    <xdr:pic>
      <xdr:nvPicPr>
        <xdr:cNvPr id="17" name="Imag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053000" y="29111864"/>
          <a:ext cx="1506325" cy="15063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114</xdr:col>
      <xdr:colOff>69274</xdr:colOff>
      <xdr:row>205</xdr:row>
      <xdr:rowOff>0</xdr:rowOff>
    </xdr:from>
    <xdr:to>
      <xdr:col>118</xdr:col>
      <xdr:colOff>242099</xdr:colOff>
      <xdr:row>212</xdr:row>
      <xdr:rowOff>190144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3035683" y="42966409"/>
          <a:ext cx="1558280" cy="1558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0</xdr:colOff>
      <xdr:row>0</xdr:row>
      <xdr:rowOff>0</xdr:rowOff>
    </xdr:from>
    <xdr:ext cx="695325" cy="619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695325" cy="61912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X220"/>
  <sheetViews>
    <sheetView tabSelected="1" topLeftCell="J15" zoomScale="115" zoomScaleNormal="115" workbookViewId="0">
      <selection activeCell="ET46" sqref="ET46"/>
    </sheetView>
  </sheetViews>
  <sheetFormatPr baseColWidth="10" defaultColWidth="9.140625" defaultRowHeight="15" x14ac:dyDescent="0.25"/>
  <cols>
    <col min="1" max="1" width="12" customWidth="1"/>
    <col min="2" max="2" width="19" customWidth="1"/>
    <col min="3" max="3" width="24" customWidth="1"/>
    <col min="4" max="4" width="19" customWidth="1"/>
  </cols>
  <sheetData>
    <row r="2" spans="1:154" ht="20.25" x14ac:dyDescent="0.35">
      <c r="A2" s="5" t="s">
        <v>0</v>
      </c>
    </row>
    <row r="3" spans="1:154" ht="15.75" thickBot="1" x14ac:dyDescent="0.3">
      <c r="AP3">
        <f>COUNTA(AP5:AP23)</f>
        <v>0</v>
      </c>
    </row>
    <row r="4" spans="1:154" ht="16.5" x14ac:dyDescent="0.25">
      <c r="A4" s="53" t="s">
        <v>1</v>
      </c>
      <c r="B4" s="54" t="s">
        <v>2</v>
      </c>
      <c r="C4" s="54" t="s">
        <v>3</v>
      </c>
      <c r="D4" s="54" t="s">
        <v>4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6"/>
      <c r="AO4" s="72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6"/>
      <c r="CB4" s="72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  <c r="CW4" s="55"/>
      <c r="CX4" s="55"/>
      <c r="CY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6"/>
      <c r="DP4" s="72"/>
      <c r="DQ4" s="55"/>
      <c r="DR4" s="55"/>
      <c r="DS4" s="55"/>
      <c r="DT4" s="55"/>
      <c r="DU4" s="55"/>
      <c r="DV4" s="55"/>
      <c r="DW4" s="55"/>
      <c r="DX4" s="55"/>
      <c r="DY4" s="55"/>
      <c r="DZ4" s="55"/>
      <c r="EA4" s="55"/>
      <c r="EB4" s="55"/>
      <c r="EC4" s="55"/>
      <c r="ED4" s="55"/>
      <c r="EE4" s="55"/>
      <c r="EF4" s="55"/>
      <c r="EG4" s="55"/>
      <c r="EH4" s="55"/>
      <c r="EI4" s="55"/>
      <c r="EJ4" s="55"/>
      <c r="EK4" s="55"/>
      <c r="EL4" s="55"/>
      <c r="EM4" s="55"/>
      <c r="EN4" s="55"/>
      <c r="EO4" s="55"/>
      <c r="EP4" s="55"/>
      <c r="EQ4" s="55"/>
      <c r="ER4" s="55"/>
      <c r="ES4" s="55"/>
      <c r="ET4" s="55"/>
      <c r="EU4" s="55"/>
      <c r="EV4" s="55"/>
      <c r="EW4" s="55"/>
      <c r="EX4" s="56"/>
    </row>
    <row r="5" spans="1:154" x14ac:dyDescent="0.25">
      <c r="A5" s="57"/>
      <c r="B5" s="6"/>
      <c r="C5" s="7" t="s">
        <v>7</v>
      </c>
      <c r="D5" s="6">
        <v>8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58"/>
      <c r="AO5" s="70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58"/>
      <c r="CB5" s="70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58"/>
      <c r="DP5" s="70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58"/>
    </row>
    <row r="6" spans="1:154" x14ac:dyDescent="0.25">
      <c r="A6" s="59"/>
      <c r="B6" s="8"/>
      <c r="C6" s="9" t="s">
        <v>9</v>
      </c>
      <c r="D6" s="8">
        <v>14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58"/>
      <c r="AO6" s="70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58"/>
      <c r="CB6" s="70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58"/>
      <c r="DP6" s="70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58"/>
    </row>
    <row r="7" spans="1:154" x14ac:dyDescent="0.25">
      <c r="A7" s="57"/>
      <c r="B7" s="6"/>
      <c r="C7" s="7" t="s">
        <v>11</v>
      </c>
      <c r="D7" s="6">
        <v>12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58"/>
      <c r="AO7" s="70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58"/>
      <c r="CB7" s="70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58"/>
      <c r="DP7" s="70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58"/>
    </row>
    <row r="8" spans="1:154" x14ac:dyDescent="0.25">
      <c r="A8" s="59"/>
      <c r="B8" s="8"/>
      <c r="C8" s="9" t="s">
        <v>14</v>
      </c>
      <c r="D8" s="8">
        <v>16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58"/>
      <c r="AO8" s="70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58"/>
      <c r="CB8" s="70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58"/>
      <c r="DP8" s="70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58"/>
    </row>
    <row r="9" spans="1:154" x14ac:dyDescent="0.25">
      <c r="A9" s="57"/>
      <c r="B9" s="6"/>
      <c r="C9" s="7" t="s">
        <v>16</v>
      </c>
      <c r="D9" s="6">
        <v>12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58"/>
      <c r="AO9" s="70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58"/>
      <c r="CB9" s="70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58"/>
      <c r="DP9" s="70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58"/>
    </row>
    <row r="10" spans="1:154" x14ac:dyDescent="0.25">
      <c r="A10" s="59"/>
      <c r="B10" s="8"/>
      <c r="C10" s="9" t="s">
        <v>19</v>
      </c>
      <c r="D10" s="8">
        <v>9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58"/>
      <c r="AO10" s="70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58"/>
      <c r="CB10" s="70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58"/>
      <c r="DP10" s="70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58"/>
    </row>
    <row r="11" spans="1:154" x14ac:dyDescent="0.25">
      <c r="A11" s="57"/>
      <c r="B11" s="6"/>
      <c r="C11" s="7" t="s">
        <v>21</v>
      </c>
      <c r="D11" s="6">
        <v>12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58"/>
      <c r="AO11" s="70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58"/>
      <c r="CB11" s="70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58"/>
      <c r="DP11" s="70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58"/>
    </row>
    <row r="12" spans="1:154" ht="15.75" thickBot="1" x14ac:dyDescent="0.3">
      <c r="A12" s="59"/>
      <c r="B12" s="8"/>
      <c r="C12" s="9" t="s">
        <v>23</v>
      </c>
      <c r="D12" s="8">
        <v>8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58"/>
      <c r="AO12" s="70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58"/>
      <c r="CB12" s="71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3"/>
      <c r="DD12" s="63"/>
      <c r="DE12" s="63"/>
      <c r="DF12" s="63"/>
      <c r="DG12" s="63"/>
      <c r="DH12" s="63"/>
      <c r="DI12" s="63"/>
      <c r="DJ12" s="64"/>
      <c r="DP12" s="70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58"/>
    </row>
    <row r="13" spans="1:154" ht="15.75" thickBot="1" x14ac:dyDescent="0.3">
      <c r="A13" s="57" t="s">
        <v>17</v>
      </c>
      <c r="B13" s="6" t="s">
        <v>22</v>
      </c>
      <c r="C13" s="7" t="s">
        <v>24</v>
      </c>
      <c r="D13" s="6">
        <v>5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58"/>
      <c r="AO13" s="70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58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95"/>
      <c r="CT13" s="95"/>
      <c r="CU13" s="95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P13" s="70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58"/>
    </row>
    <row r="14" spans="1:154" x14ac:dyDescent="0.25">
      <c r="A14" s="59" t="s">
        <v>17</v>
      </c>
      <c r="B14" s="8" t="s">
        <v>25</v>
      </c>
      <c r="C14" s="9" t="s">
        <v>26</v>
      </c>
      <c r="D14" s="8">
        <v>14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58"/>
      <c r="AO14" s="70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58"/>
      <c r="DP14" s="70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58"/>
    </row>
    <row r="15" spans="1:154" ht="15.75" thickBot="1" x14ac:dyDescent="0.3">
      <c r="A15" s="60" t="s">
        <v>17</v>
      </c>
      <c r="B15" s="61" t="s">
        <v>27</v>
      </c>
      <c r="C15" s="62" t="s">
        <v>21</v>
      </c>
      <c r="D15" s="61">
        <v>12</v>
      </c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4"/>
      <c r="AO15" s="70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58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P15" s="71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3"/>
      <c r="EK15" s="63"/>
      <c r="EL15" s="63"/>
      <c r="EM15" s="63"/>
      <c r="EN15" s="63"/>
      <c r="EO15" s="63"/>
      <c r="EP15" s="63"/>
      <c r="EQ15" s="63"/>
      <c r="ER15" s="63"/>
      <c r="ES15" s="63"/>
      <c r="ET15" s="63"/>
      <c r="EU15" s="63"/>
      <c r="EV15" s="63"/>
      <c r="EW15" s="63"/>
      <c r="EX15" s="64"/>
    </row>
    <row r="16" spans="1:154" x14ac:dyDescent="0.25">
      <c r="A16" s="35" t="s">
        <v>17</v>
      </c>
      <c r="B16" s="35" t="s">
        <v>28</v>
      </c>
      <c r="C16" s="36" t="s">
        <v>19</v>
      </c>
      <c r="D16" s="35">
        <v>9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O16" s="70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58"/>
      <c r="CB16" s="72"/>
      <c r="CC16" s="55"/>
      <c r="CD16" s="55"/>
      <c r="CE16" s="55"/>
      <c r="CF16" s="55"/>
      <c r="CG16" s="55"/>
      <c r="CH16" s="55"/>
      <c r="CI16" s="55"/>
      <c r="CJ16" s="55"/>
      <c r="CK16" s="55"/>
      <c r="CL16" s="55"/>
      <c r="CM16" s="55"/>
      <c r="CN16" s="55"/>
      <c r="CO16" s="55"/>
      <c r="CP16" s="55"/>
      <c r="CQ16" s="55"/>
      <c r="CR16" s="55"/>
      <c r="CS16" s="55"/>
      <c r="CT16" s="55"/>
      <c r="CU16" s="55"/>
      <c r="CV16" s="55"/>
      <c r="CW16" s="55"/>
      <c r="CX16" s="55"/>
      <c r="CY16" s="55"/>
      <c r="CZ16" s="55"/>
      <c r="DA16" s="55"/>
      <c r="DB16" s="55"/>
      <c r="DC16" s="55"/>
      <c r="DD16" s="55"/>
      <c r="DE16" s="55"/>
      <c r="DF16" s="55"/>
      <c r="DG16" s="55"/>
      <c r="DH16" s="55"/>
      <c r="DI16" s="55"/>
      <c r="DJ16" s="56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</row>
    <row r="17" spans="1:154" x14ac:dyDescent="0.25">
      <c r="A17" s="8" t="s">
        <v>17</v>
      </c>
      <c r="B17" s="8" t="s">
        <v>29</v>
      </c>
      <c r="C17" s="7" t="s">
        <v>7</v>
      </c>
      <c r="D17" s="6">
        <v>8</v>
      </c>
      <c r="AO17" s="70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58"/>
      <c r="CB17" s="70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58"/>
    </row>
    <row r="18" spans="1:154" ht="15.75" thickBot="1" x14ac:dyDescent="0.3">
      <c r="A18" s="8" t="s">
        <v>17</v>
      </c>
      <c r="B18" s="8" t="s">
        <v>6</v>
      </c>
      <c r="C18" s="9" t="s">
        <v>9</v>
      </c>
      <c r="D18" s="8">
        <v>14</v>
      </c>
      <c r="AO18" s="70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58"/>
      <c r="CB18" s="70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58"/>
      <c r="EG18" s="17"/>
      <c r="EH18" s="17"/>
      <c r="EI18" s="17"/>
    </row>
    <row r="19" spans="1:154" ht="15.75" thickBot="1" x14ac:dyDescent="0.3">
      <c r="A19" s="65" t="s">
        <v>17</v>
      </c>
      <c r="B19" s="65">
        <f>COUNTA(B21:B37)</f>
        <v>0</v>
      </c>
      <c r="C19" s="66" t="s">
        <v>31</v>
      </c>
      <c r="D19" s="65">
        <v>11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O19" s="70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58"/>
      <c r="CB19" s="70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58"/>
      <c r="DQ19">
        <f>COUNTA(DQ21:DQ37)</f>
        <v>0</v>
      </c>
    </row>
    <row r="20" spans="1:154" x14ac:dyDescent="0.25">
      <c r="A20" s="67" t="s">
        <v>32</v>
      </c>
      <c r="B20" s="68" t="s">
        <v>6</v>
      </c>
      <c r="C20" s="69" t="s">
        <v>7</v>
      </c>
      <c r="D20" s="68">
        <v>8</v>
      </c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6"/>
      <c r="AO20" s="70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58"/>
      <c r="CB20" s="70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58"/>
      <c r="DP20" s="72"/>
      <c r="DQ20" s="55"/>
      <c r="DR20" s="55"/>
      <c r="DS20" s="55"/>
      <c r="DT20" s="55"/>
      <c r="DU20" s="55"/>
      <c r="DV20" s="55"/>
      <c r="DW20" s="55"/>
      <c r="DX20" s="55"/>
      <c r="DY20" s="55"/>
      <c r="DZ20" s="55"/>
      <c r="EA20" s="55"/>
      <c r="EB20" s="55"/>
      <c r="EC20" s="55"/>
      <c r="ED20" s="55"/>
      <c r="EE20" s="55"/>
      <c r="EF20" s="55"/>
      <c r="EG20" s="55"/>
      <c r="EH20" s="55"/>
      <c r="EI20" s="55"/>
      <c r="EJ20" s="55"/>
      <c r="EK20" s="55"/>
      <c r="EL20" s="55"/>
      <c r="EM20" s="55"/>
      <c r="EN20" s="55"/>
      <c r="EO20" s="55"/>
      <c r="EP20" s="55"/>
      <c r="EQ20" s="55"/>
      <c r="ER20" s="55"/>
      <c r="ES20" s="55"/>
      <c r="ET20" s="55"/>
      <c r="EU20" s="55"/>
      <c r="EV20" s="55"/>
      <c r="EW20" s="55"/>
      <c r="EX20" s="56"/>
    </row>
    <row r="21" spans="1:154" ht="15.75" thickBot="1" x14ac:dyDescent="0.3">
      <c r="A21" s="57"/>
      <c r="B21" s="6"/>
      <c r="C21" s="7" t="s">
        <v>33</v>
      </c>
      <c r="D21" s="6">
        <v>14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58"/>
      <c r="AO21" s="71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4"/>
      <c r="CB21" s="70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58"/>
      <c r="DP21" s="70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58"/>
    </row>
    <row r="22" spans="1:154" x14ac:dyDescent="0.25">
      <c r="A22" s="59"/>
      <c r="B22" s="8"/>
      <c r="C22" s="9" t="s">
        <v>34</v>
      </c>
      <c r="D22" s="8">
        <v>12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58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CB22" s="70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58"/>
      <c r="DP22" s="70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58"/>
    </row>
    <row r="23" spans="1:154" x14ac:dyDescent="0.25">
      <c r="A23" s="70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58"/>
      <c r="CB23" s="70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58"/>
      <c r="DP23" s="70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58"/>
    </row>
    <row r="24" spans="1:154" x14ac:dyDescent="0.25">
      <c r="A24" s="70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58"/>
      <c r="CB24" s="70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58"/>
      <c r="DP24" s="70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58"/>
    </row>
    <row r="25" spans="1:154" x14ac:dyDescent="0.25">
      <c r="A25" s="70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58"/>
      <c r="CB25" s="70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58"/>
      <c r="DP25" s="70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58"/>
    </row>
    <row r="26" spans="1:154" x14ac:dyDescent="0.25">
      <c r="A26" s="70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58"/>
      <c r="CB26" s="70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58"/>
      <c r="DP26" s="70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58"/>
    </row>
    <row r="27" spans="1:154" x14ac:dyDescent="0.25">
      <c r="A27" s="70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58"/>
      <c r="CB27" s="70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58"/>
      <c r="DP27" s="70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58"/>
    </row>
    <row r="28" spans="1:154" ht="15.75" thickBot="1" x14ac:dyDescent="0.3">
      <c r="A28" s="70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58"/>
      <c r="CB28" s="70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58"/>
      <c r="DP28" s="70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58"/>
    </row>
    <row r="29" spans="1:154" x14ac:dyDescent="0.25">
      <c r="A29" s="70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58"/>
      <c r="AO29" s="72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55"/>
      <c r="BR29" s="55"/>
      <c r="BS29" s="55"/>
      <c r="BT29" s="55"/>
      <c r="BU29" s="55"/>
      <c r="BV29" s="55"/>
      <c r="BW29" s="56"/>
      <c r="CB29" s="70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58"/>
      <c r="DP29" s="70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58"/>
    </row>
    <row r="30" spans="1:154" ht="15.75" thickBot="1" x14ac:dyDescent="0.3">
      <c r="A30" s="70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58"/>
      <c r="AO30" s="70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58"/>
      <c r="CB30" s="71"/>
      <c r="CC30" s="63"/>
      <c r="CD30" s="63"/>
      <c r="CE30" s="63"/>
      <c r="CF30" s="63"/>
      <c r="CG30" s="63"/>
      <c r="CH30" s="63"/>
      <c r="CI30" s="63"/>
      <c r="CJ30" s="63"/>
      <c r="CK30" s="63"/>
      <c r="CL30" s="63"/>
      <c r="CM30" s="63"/>
      <c r="CN30" s="63"/>
      <c r="CO30" s="63"/>
      <c r="CP30" s="63"/>
      <c r="CQ30" s="63"/>
      <c r="CR30" s="63"/>
      <c r="CS30" s="63"/>
      <c r="CT30" s="63"/>
      <c r="CU30" s="63"/>
      <c r="CV30" s="63"/>
      <c r="CW30" s="63"/>
      <c r="CX30" s="63"/>
      <c r="CY30" s="63"/>
      <c r="CZ30" s="63"/>
      <c r="DA30" s="63"/>
      <c r="DB30" s="63"/>
      <c r="DC30" s="63"/>
      <c r="DD30" s="63"/>
      <c r="DE30" s="63"/>
      <c r="DF30" s="63"/>
      <c r="DG30" s="63"/>
      <c r="DH30" s="63"/>
      <c r="DI30" s="63"/>
      <c r="DJ30" s="64"/>
      <c r="DP30" s="70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58"/>
    </row>
    <row r="31" spans="1:154" x14ac:dyDescent="0.25">
      <c r="A31" s="70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58"/>
      <c r="AO31" s="70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58"/>
      <c r="DP31" s="70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58"/>
    </row>
    <row r="32" spans="1:154" x14ac:dyDescent="0.25">
      <c r="A32" s="70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58"/>
      <c r="AO32" s="70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58"/>
      <c r="DP32" s="70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58"/>
    </row>
    <row r="33" spans="1:154" x14ac:dyDescent="0.25">
      <c r="A33" s="70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58"/>
      <c r="AO33" s="70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58"/>
      <c r="DP33" s="70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58"/>
    </row>
    <row r="34" spans="1:154" ht="15.75" thickBot="1" x14ac:dyDescent="0.3">
      <c r="A34" s="70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58"/>
      <c r="AO34" s="70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58"/>
      <c r="CC34">
        <f>COUNTA(CC36:CC48)</f>
        <v>0</v>
      </c>
      <c r="DP34" s="70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58"/>
    </row>
    <row r="35" spans="1:154" x14ac:dyDescent="0.25">
      <c r="A35" s="70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58"/>
      <c r="AO35" s="70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58"/>
      <c r="CB35" s="72"/>
      <c r="CC35" s="55"/>
      <c r="CD35" s="55">
        <v>0</v>
      </c>
      <c r="CE35" s="55">
        <v>0</v>
      </c>
      <c r="CF35" s="55">
        <v>0</v>
      </c>
      <c r="CG35" s="55">
        <v>0</v>
      </c>
      <c r="CH35" s="55">
        <v>0</v>
      </c>
      <c r="CI35" s="55">
        <v>0</v>
      </c>
      <c r="CJ35" s="55">
        <v>0</v>
      </c>
      <c r="CK35" s="55">
        <v>0</v>
      </c>
      <c r="CL35" s="55">
        <v>0</v>
      </c>
      <c r="CM35" s="55">
        <v>0</v>
      </c>
      <c r="CN35" s="55">
        <v>0</v>
      </c>
      <c r="CO35" s="55">
        <v>0</v>
      </c>
      <c r="CP35" s="55">
        <v>0</v>
      </c>
      <c r="CQ35" s="55">
        <v>0</v>
      </c>
      <c r="CR35" s="55">
        <v>0</v>
      </c>
      <c r="CS35" s="55">
        <v>0</v>
      </c>
      <c r="CT35" s="55">
        <v>0</v>
      </c>
      <c r="CU35" s="55">
        <v>0</v>
      </c>
      <c r="CV35" s="55">
        <v>0</v>
      </c>
      <c r="CW35" s="55">
        <v>0</v>
      </c>
      <c r="CX35" s="55">
        <v>0</v>
      </c>
      <c r="CY35" s="55">
        <v>0</v>
      </c>
      <c r="CZ35" s="55">
        <v>0</v>
      </c>
      <c r="DA35" s="55">
        <v>0</v>
      </c>
      <c r="DB35" s="55">
        <v>0</v>
      </c>
      <c r="DC35" s="55">
        <v>0</v>
      </c>
      <c r="DD35" s="55">
        <v>0</v>
      </c>
      <c r="DE35" s="55">
        <v>0</v>
      </c>
      <c r="DF35" s="55">
        <v>0</v>
      </c>
      <c r="DG35" s="55">
        <v>0</v>
      </c>
      <c r="DH35" s="55">
        <v>0</v>
      </c>
      <c r="DI35" s="55">
        <v>0</v>
      </c>
      <c r="DJ35" s="56">
        <v>0</v>
      </c>
      <c r="DP35" s="70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58"/>
    </row>
    <row r="36" spans="1:154" x14ac:dyDescent="0.25">
      <c r="A36" s="70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58"/>
      <c r="AO36" s="70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58"/>
      <c r="CB36" s="70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58"/>
      <c r="DP36" s="70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58"/>
    </row>
    <row r="37" spans="1:154" ht="15.75" thickBot="1" x14ac:dyDescent="0.3">
      <c r="A37" s="71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4"/>
      <c r="AO37" s="70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58"/>
      <c r="CB37" s="70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58"/>
      <c r="DP37" s="71"/>
      <c r="DQ37" s="63"/>
      <c r="DR37" s="63"/>
      <c r="DS37" s="63"/>
      <c r="DT37" s="63"/>
      <c r="DU37" s="63"/>
      <c r="DV37" s="63"/>
      <c r="DW37" s="63"/>
      <c r="DX37" s="63"/>
      <c r="DY37" s="63"/>
      <c r="DZ37" s="63"/>
      <c r="EA37" s="63"/>
      <c r="EB37" s="63"/>
      <c r="EC37" s="63"/>
      <c r="ED37" s="63"/>
      <c r="EE37" s="63"/>
      <c r="EF37" s="63"/>
      <c r="EG37" s="63"/>
      <c r="EH37" s="63"/>
      <c r="EI37" s="63"/>
      <c r="EJ37" s="63"/>
      <c r="EK37" s="63"/>
      <c r="EL37" s="63"/>
      <c r="EM37" s="63"/>
      <c r="EN37" s="63"/>
      <c r="EO37" s="63"/>
      <c r="EP37" s="63"/>
      <c r="EQ37" s="63"/>
      <c r="ER37" s="63"/>
      <c r="ES37" s="63"/>
      <c r="ET37" s="63"/>
      <c r="EU37" s="63"/>
      <c r="EV37" s="63"/>
      <c r="EW37" s="63"/>
      <c r="EX37" s="64"/>
    </row>
    <row r="38" spans="1:154" x14ac:dyDescent="0.25">
      <c r="AO38" s="70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58"/>
      <c r="CB38" s="70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58"/>
    </row>
    <row r="39" spans="1:154" x14ac:dyDescent="0.25">
      <c r="AO39" s="70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58"/>
      <c r="CB39" s="70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58"/>
    </row>
    <row r="40" spans="1:154" x14ac:dyDescent="0.25">
      <c r="AO40" s="70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58"/>
      <c r="CB40" s="70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58"/>
    </row>
    <row r="41" spans="1:154" x14ac:dyDescent="0.25">
      <c r="AO41" s="70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58"/>
      <c r="CB41" s="70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58"/>
    </row>
    <row r="42" spans="1:154" x14ac:dyDescent="0.25">
      <c r="AO42" s="70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58"/>
      <c r="CB42" s="70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58"/>
    </row>
    <row r="43" spans="1:154" x14ac:dyDescent="0.25">
      <c r="AO43" s="70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58"/>
      <c r="CB43" s="70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58"/>
    </row>
    <row r="44" spans="1:154" ht="15.75" thickBot="1" x14ac:dyDescent="0.3">
      <c r="AO44" s="71"/>
      <c r="AP44" s="63"/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3"/>
      <c r="BK44" s="63"/>
      <c r="BL44" s="63"/>
      <c r="BM44" s="63"/>
      <c r="BN44" s="63"/>
      <c r="BO44" s="63"/>
      <c r="BP44" s="63"/>
      <c r="BQ44" s="63"/>
      <c r="BR44" s="63"/>
      <c r="BS44" s="63"/>
      <c r="BT44" s="63"/>
      <c r="BU44" s="63"/>
      <c r="BV44" s="63"/>
      <c r="BW44" s="64"/>
      <c r="CB44" s="70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58"/>
    </row>
    <row r="45" spans="1:154" x14ac:dyDescent="0.25">
      <c r="CB45" s="70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58"/>
    </row>
    <row r="46" spans="1:154" x14ac:dyDescent="0.25">
      <c r="CB46" s="70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58"/>
    </row>
    <row r="47" spans="1:154" x14ac:dyDescent="0.25">
      <c r="CB47" s="70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58"/>
    </row>
    <row r="48" spans="1:154" ht="15.75" thickBot="1" x14ac:dyDescent="0.3">
      <c r="CB48" s="71"/>
      <c r="CC48" s="63"/>
      <c r="CD48" s="63"/>
      <c r="CE48" s="63"/>
      <c r="CF48" s="63"/>
      <c r="CG48" s="63"/>
      <c r="CH48" s="63"/>
      <c r="CI48" s="63"/>
      <c r="CJ48" s="63"/>
      <c r="CK48" s="63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3"/>
      <c r="DD48" s="63"/>
      <c r="DE48" s="63"/>
      <c r="DF48" s="63"/>
      <c r="DG48" s="63"/>
      <c r="DH48" s="63"/>
      <c r="DI48" s="63"/>
      <c r="DJ48" s="64"/>
    </row>
    <row r="51" spans="1:154" ht="15.75" thickBot="1" x14ac:dyDescent="0.3"/>
    <row r="52" spans="1:154" ht="15.75" thickBot="1" x14ac:dyDescent="0.3">
      <c r="DP52" s="72"/>
      <c r="DQ52" s="55"/>
      <c r="DR52" s="55" t="e">
        <f>C4+5</f>
        <v>#VALUE!</v>
      </c>
      <c r="DS52" s="55" t="e">
        <f t="shared" ref="DS52:EX52" si="0">D4+5</f>
        <v>#VALUE!</v>
      </c>
      <c r="DT52" s="55">
        <f t="shared" si="0"/>
        <v>5</v>
      </c>
      <c r="DU52" s="55">
        <f t="shared" si="0"/>
        <v>5</v>
      </c>
      <c r="DV52" s="55">
        <f t="shared" si="0"/>
        <v>5</v>
      </c>
      <c r="DW52" s="55">
        <f t="shared" si="0"/>
        <v>5</v>
      </c>
      <c r="DX52" s="55">
        <f t="shared" si="0"/>
        <v>5</v>
      </c>
      <c r="DY52" s="55">
        <f t="shared" si="0"/>
        <v>5</v>
      </c>
      <c r="DZ52" s="55">
        <f t="shared" si="0"/>
        <v>5</v>
      </c>
      <c r="EA52" s="55">
        <f t="shared" si="0"/>
        <v>5</v>
      </c>
      <c r="EB52" s="55">
        <f t="shared" si="0"/>
        <v>5</v>
      </c>
      <c r="EC52" s="55">
        <f t="shared" si="0"/>
        <v>5</v>
      </c>
      <c r="ED52" s="55">
        <f t="shared" si="0"/>
        <v>5</v>
      </c>
      <c r="EE52" s="55">
        <f t="shared" si="0"/>
        <v>5</v>
      </c>
      <c r="EF52" s="55">
        <f t="shared" si="0"/>
        <v>5</v>
      </c>
      <c r="EG52" s="55">
        <f t="shared" si="0"/>
        <v>5</v>
      </c>
      <c r="EH52" s="55">
        <f t="shared" si="0"/>
        <v>5</v>
      </c>
      <c r="EI52" s="55">
        <f t="shared" si="0"/>
        <v>5</v>
      </c>
      <c r="EJ52" s="55">
        <f t="shared" si="0"/>
        <v>5</v>
      </c>
      <c r="EK52" s="55">
        <f t="shared" si="0"/>
        <v>5</v>
      </c>
      <c r="EL52" s="55">
        <f t="shared" si="0"/>
        <v>5</v>
      </c>
      <c r="EM52" s="55">
        <f t="shared" si="0"/>
        <v>5</v>
      </c>
      <c r="EN52" s="55">
        <f t="shared" si="0"/>
        <v>5</v>
      </c>
      <c r="EO52" s="55">
        <f t="shared" si="0"/>
        <v>5</v>
      </c>
      <c r="EP52" s="55">
        <f t="shared" si="0"/>
        <v>5</v>
      </c>
      <c r="EQ52" s="55">
        <f t="shared" si="0"/>
        <v>5</v>
      </c>
      <c r="ER52" s="55">
        <f t="shared" si="0"/>
        <v>5</v>
      </c>
      <c r="ES52" s="55">
        <f t="shared" si="0"/>
        <v>5</v>
      </c>
      <c r="ET52" s="55">
        <f t="shared" si="0"/>
        <v>5</v>
      </c>
      <c r="EU52" s="55">
        <f t="shared" si="0"/>
        <v>5</v>
      </c>
      <c r="EV52" s="55">
        <f t="shared" si="0"/>
        <v>5</v>
      </c>
      <c r="EW52" s="55">
        <f t="shared" si="0"/>
        <v>5</v>
      </c>
      <c r="EX52" s="56">
        <f t="shared" si="0"/>
        <v>5</v>
      </c>
    </row>
    <row r="53" spans="1:154" ht="15.75" thickBot="1" x14ac:dyDescent="0.3">
      <c r="CB53" s="72"/>
      <c r="CC53" s="55"/>
      <c r="CD53" s="55">
        <v>0</v>
      </c>
      <c r="CE53" s="55">
        <v>0</v>
      </c>
      <c r="CF53" s="55">
        <v>0</v>
      </c>
      <c r="CG53" s="55">
        <v>0</v>
      </c>
      <c r="CH53" s="55">
        <v>0</v>
      </c>
      <c r="CI53" s="55">
        <v>0</v>
      </c>
      <c r="CJ53" s="55">
        <v>0</v>
      </c>
      <c r="CK53" s="55">
        <v>0</v>
      </c>
      <c r="CL53" s="55">
        <v>0</v>
      </c>
      <c r="CM53" s="55">
        <v>0</v>
      </c>
      <c r="CN53" s="55">
        <v>0</v>
      </c>
      <c r="CO53" s="55">
        <v>0</v>
      </c>
      <c r="CP53" s="55">
        <v>0</v>
      </c>
      <c r="CQ53" s="55">
        <v>0</v>
      </c>
      <c r="CR53" s="55">
        <v>0</v>
      </c>
      <c r="CS53" s="55">
        <v>0</v>
      </c>
      <c r="CT53" s="55">
        <v>0</v>
      </c>
      <c r="CU53" s="55">
        <v>0</v>
      </c>
      <c r="CV53" s="55">
        <v>0</v>
      </c>
      <c r="CW53" s="55">
        <v>0</v>
      </c>
      <c r="CX53" s="55">
        <v>0</v>
      </c>
      <c r="CY53" s="55">
        <v>0</v>
      </c>
      <c r="CZ53" s="55">
        <v>0</v>
      </c>
      <c r="DA53" s="55">
        <v>0</v>
      </c>
      <c r="DB53" s="55">
        <v>0</v>
      </c>
      <c r="DC53" s="55">
        <v>0</v>
      </c>
      <c r="DD53" s="55">
        <v>0</v>
      </c>
      <c r="DE53" s="55">
        <v>0</v>
      </c>
      <c r="DF53" s="55">
        <v>0</v>
      </c>
      <c r="DG53" s="55">
        <v>0</v>
      </c>
      <c r="DH53" s="55">
        <v>0</v>
      </c>
      <c r="DI53" s="55">
        <v>0</v>
      </c>
      <c r="DJ53" s="56">
        <v>0</v>
      </c>
      <c r="DP53" s="70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  <c r="ER53" s="14"/>
      <c r="ES53" s="14"/>
      <c r="ET53" s="14"/>
      <c r="EU53" s="14"/>
      <c r="EV53" s="14"/>
      <c r="EW53" s="14"/>
      <c r="EX53" s="58"/>
    </row>
    <row r="54" spans="1:154" x14ac:dyDescent="0.25">
      <c r="A54" s="7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6"/>
      <c r="CB54" s="70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58"/>
      <c r="DP54" s="70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  <c r="ER54" s="14"/>
      <c r="ES54" s="14"/>
      <c r="ET54" s="14"/>
      <c r="EU54" s="14"/>
      <c r="EV54" s="14"/>
      <c r="EW54" s="14"/>
      <c r="EX54" s="58"/>
    </row>
    <row r="55" spans="1:154" x14ac:dyDescent="0.25">
      <c r="A55" s="70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58"/>
      <c r="CB55" s="70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58"/>
      <c r="DP55" s="70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58"/>
    </row>
    <row r="56" spans="1:154" x14ac:dyDescent="0.25">
      <c r="A56" s="70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58"/>
      <c r="CB56" s="70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58"/>
      <c r="DP56" s="70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58"/>
    </row>
    <row r="57" spans="1:154" x14ac:dyDescent="0.25">
      <c r="A57" s="70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58"/>
      <c r="CB57" s="70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58"/>
      <c r="DP57" s="70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  <c r="EO57" s="14"/>
      <c r="EP57" s="14"/>
      <c r="EQ57" s="14"/>
      <c r="ER57" s="14"/>
      <c r="ES57" s="14"/>
      <c r="ET57" s="14"/>
      <c r="EU57" s="14"/>
      <c r="EV57" s="14"/>
      <c r="EW57" s="14"/>
      <c r="EX57" s="58"/>
    </row>
    <row r="58" spans="1:154" x14ac:dyDescent="0.25">
      <c r="A58" s="70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58"/>
      <c r="CB58" s="70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58"/>
      <c r="DP58" s="70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58"/>
    </row>
    <row r="59" spans="1:154" x14ac:dyDescent="0.25">
      <c r="A59" s="70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58"/>
      <c r="CB59" s="70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58"/>
      <c r="DP59" s="70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58"/>
    </row>
    <row r="60" spans="1:154" x14ac:dyDescent="0.25">
      <c r="A60" s="70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58"/>
      <c r="CB60" s="70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58"/>
      <c r="DP60" s="70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58"/>
    </row>
    <row r="61" spans="1:154" x14ac:dyDescent="0.25">
      <c r="A61" s="70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58"/>
      <c r="CB61" s="70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58"/>
      <c r="DP61" s="70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58"/>
    </row>
    <row r="62" spans="1:154" x14ac:dyDescent="0.25">
      <c r="A62" s="70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58"/>
      <c r="CB62" s="70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58"/>
      <c r="DP62" s="70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58"/>
    </row>
    <row r="63" spans="1:154" x14ac:dyDescent="0.25">
      <c r="A63" s="70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58"/>
      <c r="CB63" s="70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58"/>
      <c r="DP63" s="70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58"/>
    </row>
    <row r="64" spans="1:154" x14ac:dyDescent="0.25">
      <c r="A64" s="70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58"/>
      <c r="CB64" s="70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58"/>
      <c r="DP64" s="70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58"/>
    </row>
    <row r="65" spans="1:154" ht="15.75" thickBot="1" x14ac:dyDescent="0.3">
      <c r="A65" s="70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58"/>
      <c r="CB65" s="71"/>
      <c r="CC65" s="63"/>
      <c r="CD65" s="63"/>
      <c r="CE65" s="63"/>
      <c r="CF65" s="63"/>
      <c r="CG65" s="63"/>
      <c r="CH65" s="63"/>
      <c r="CI65" s="63"/>
      <c r="CJ65" s="63"/>
      <c r="CK65" s="63"/>
      <c r="CL65" s="63"/>
      <c r="CM65" s="63"/>
      <c r="CN65" s="63"/>
      <c r="CO65" s="63"/>
      <c r="CP65" s="63"/>
      <c r="CQ65" s="63"/>
      <c r="CR65" s="63"/>
      <c r="CS65" s="63"/>
      <c r="CT65" s="63"/>
      <c r="CU65" s="63"/>
      <c r="CV65" s="63"/>
      <c r="CW65" s="63"/>
      <c r="CX65" s="63"/>
      <c r="CY65" s="63"/>
      <c r="CZ65" s="63"/>
      <c r="DA65" s="63"/>
      <c r="DB65" s="63"/>
      <c r="DC65" s="63"/>
      <c r="DD65" s="63"/>
      <c r="DE65" s="63"/>
      <c r="DF65" s="63"/>
      <c r="DG65" s="63"/>
      <c r="DH65" s="63"/>
      <c r="DI65" s="63"/>
      <c r="DJ65" s="64"/>
      <c r="DP65" s="70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58"/>
    </row>
    <row r="66" spans="1:154" x14ac:dyDescent="0.25">
      <c r="A66" s="70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58"/>
      <c r="DP66" s="70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58"/>
    </row>
    <row r="67" spans="1:154" ht="15.75" thickBot="1" x14ac:dyDescent="0.3">
      <c r="A67" s="70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58"/>
      <c r="DP67" s="71"/>
      <c r="DQ67" s="63"/>
      <c r="DR67" s="63"/>
      <c r="DS67" s="63"/>
      <c r="DT67" s="63"/>
      <c r="DU67" s="63"/>
      <c r="DV67" s="63"/>
      <c r="DW67" s="63"/>
      <c r="DX67" s="63"/>
      <c r="DY67" s="63"/>
      <c r="DZ67" s="63"/>
      <c r="EA67" s="63"/>
      <c r="EB67" s="63"/>
      <c r="EC67" s="63"/>
      <c r="ED67" s="63"/>
      <c r="EE67" s="63"/>
      <c r="EF67" s="63"/>
      <c r="EG67" s="63"/>
      <c r="EH67" s="63"/>
      <c r="EI67" s="63"/>
      <c r="EJ67" s="63"/>
      <c r="EK67" s="63"/>
      <c r="EL67" s="63"/>
      <c r="EM67" s="63"/>
      <c r="EN67" s="63"/>
      <c r="EO67" s="63"/>
      <c r="EP67" s="63"/>
      <c r="EQ67" s="63"/>
      <c r="ER67" s="63"/>
      <c r="ES67" s="63"/>
      <c r="ET67" s="63"/>
      <c r="EU67" s="63"/>
      <c r="EV67" s="63"/>
      <c r="EW67" s="63"/>
      <c r="EX67" s="64"/>
    </row>
    <row r="68" spans="1:154" x14ac:dyDescent="0.25">
      <c r="A68" s="70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58"/>
    </row>
    <row r="69" spans="1:154" ht="15.75" thickBot="1" x14ac:dyDescent="0.3">
      <c r="A69" s="71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4"/>
    </row>
    <row r="72" spans="1:154" ht="15.75" thickBot="1" x14ac:dyDescent="0.3">
      <c r="CC72">
        <f>COUNTA(CC74:CC88)</f>
        <v>0</v>
      </c>
    </row>
    <row r="73" spans="1:154" x14ac:dyDescent="0.25">
      <c r="CB73" s="72"/>
      <c r="CC73" s="55"/>
      <c r="CD73" s="55">
        <v>0</v>
      </c>
      <c r="CE73" s="55">
        <v>0</v>
      </c>
      <c r="CF73" s="55">
        <v>0</v>
      </c>
      <c r="CG73" s="55">
        <v>0</v>
      </c>
      <c r="CH73" s="55">
        <v>0</v>
      </c>
      <c r="CI73" s="55">
        <v>0</v>
      </c>
      <c r="CJ73" s="55">
        <v>0</v>
      </c>
      <c r="CK73" s="55">
        <v>0</v>
      </c>
      <c r="CL73" s="55">
        <v>0</v>
      </c>
      <c r="CM73" s="55">
        <v>0</v>
      </c>
      <c r="CN73" s="55">
        <v>0</v>
      </c>
      <c r="CO73" s="55">
        <v>0</v>
      </c>
      <c r="CP73" s="55">
        <v>0</v>
      </c>
      <c r="CQ73" s="55">
        <v>0</v>
      </c>
      <c r="CR73" s="55">
        <v>0</v>
      </c>
      <c r="CS73" s="55">
        <v>0</v>
      </c>
      <c r="CT73" s="55">
        <v>0</v>
      </c>
      <c r="CU73" s="55">
        <v>0</v>
      </c>
      <c r="CV73" s="55">
        <v>0</v>
      </c>
      <c r="CW73" s="55">
        <v>0</v>
      </c>
      <c r="CX73" s="55">
        <v>0</v>
      </c>
      <c r="CY73" s="55">
        <v>0</v>
      </c>
      <c r="CZ73" s="55">
        <v>0</v>
      </c>
      <c r="DA73" s="55">
        <v>0</v>
      </c>
      <c r="DB73" s="55">
        <v>0</v>
      </c>
      <c r="DC73" s="55">
        <v>0</v>
      </c>
      <c r="DD73" s="55">
        <v>0</v>
      </c>
      <c r="DE73" s="55">
        <v>0</v>
      </c>
      <c r="DF73" s="55">
        <v>0</v>
      </c>
      <c r="DG73" s="55">
        <v>0</v>
      </c>
      <c r="DH73" s="55">
        <v>0</v>
      </c>
      <c r="DI73" s="55">
        <v>0</v>
      </c>
      <c r="DJ73" s="56">
        <v>0</v>
      </c>
    </row>
    <row r="74" spans="1:154" x14ac:dyDescent="0.25">
      <c r="CB74" s="70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58"/>
    </row>
    <row r="75" spans="1:154" x14ac:dyDescent="0.25">
      <c r="CB75" s="70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58"/>
    </row>
    <row r="76" spans="1:154" x14ac:dyDescent="0.25">
      <c r="CB76" s="70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58"/>
    </row>
    <row r="77" spans="1:154" x14ac:dyDescent="0.25">
      <c r="CB77" s="70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58"/>
    </row>
    <row r="78" spans="1:154" x14ac:dyDescent="0.25">
      <c r="CB78" s="70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58"/>
    </row>
    <row r="79" spans="1:154" x14ac:dyDescent="0.25">
      <c r="CB79" s="70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58"/>
    </row>
    <row r="80" spans="1:154" x14ac:dyDescent="0.25">
      <c r="CB80" s="70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58"/>
    </row>
    <row r="81" spans="80:114" x14ac:dyDescent="0.25">
      <c r="CB81" s="70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58"/>
    </row>
    <row r="82" spans="80:114" x14ac:dyDescent="0.25">
      <c r="CB82" s="70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58"/>
    </row>
    <row r="83" spans="80:114" x14ac:dyDescent="0.25">
      <c r="CB83" s="70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58"/>
    </row>
    <row r="84" spans="80:114" x14ac:dyDescent="0.25">
      <c r="CB84" s="70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58"/>
    </row>
    <row r="85" spans="80:114" x14ac:dyDescent="0.25">
      <c r="CB85" s="70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58"/>
    </row>
    <row r="86" spans="80:114" x14ac:dyDescent="0.25">
      <c r="CB86" s="70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58"/>
    </row>
    <row r="87" spans="80:114" x14ac:dyDescent="0.25">
      <c r="CB87" s="70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58"/>
    </row>
    <row r="88" spans="80:114" ht="15.75" thickBot="1" x14ac:dyDescent="0.3">
      <c r="CB88" s="71"/>
      <c r="CC88" s="63"/>
      <c r="CD88" s="63"/>
      <c r="CE88" s="63"/>
      <c r="CF88" s="63"/>
      <c r="CG88" s="63"/>
      <c r="CH88" s="63"/>
      <c r="CI88" s="63"/>
      <c r="CJ88" s="63"/>
      <c r="CK88" s="63"/>
      <c r="CL88" s="63"/>
      <c r="CM88" s="63"/>
      <c r="CN88" s="63"/>
      <c r="CO88" s="63"/>
      <c r="CP88" s="63"/>
      <c r="CQ88" s="63"/>
      <c r="CR88" s="63"/>
      <c r="CS88" s="63"/>
      <c r="CT88" s="63"/>
      <c r="CU88" s="63"/>
      <c r="CV88" s="63"/>
      <c r="CW88" s="63"/>
      <c r="CX88" s="63"/>
      <c r="CY88" s="63"/>
      <c r="CZ88" s="63"/>
      <c r="DA88" s="63"/>
      <c r="DB88" s="63"/>
      <c r="DC88" s="63"/>
      <c r="DD88" s="63"/>
      <c r="DE88" s="63"/>
      <c r="DF88" s="63"/>
      <c r="DG88" s="63"/>
      <c r="DH88" s="63"/>
      <c r="DI88" s="63"/>
      <c r="DJ88" s="64"/>
    </row>
    <row r="100" spans="80:114" ht="15.75" thickBot="1" x14ac:dyDescent="0.3"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</row>
    <row r="101" spans="80:114" x14ac:dyDescent="0.25">
      <c r="CB101" s="72"/>
      <c r="CC101" s="55"/>
      <c r="CD101" s="55">
        <v>0</v>
      </c>
      <c r="CE101" s="55">
        <v>0</v>
      </c>
      <c r="CF101" s="55">
        <v>0</v>
      </c>
      <c r="CG101" s="55">
        <v>0</v>
      </c>
      <c r="CH101" s="55">
        <v>0</v>
      </c>
      <c r="CI101" s="55">
        <v>0</v>
      </c>
      <c r="CJ101" s="55">
        <v>0</v>
      </c>
      <c r="CK101" s="55">
        <v>0</v>
      </c>
      <c r="CL101" s="55">
        <v>0</v>
      </c>
      <c r="CM101" s="55">
        <v>0</v>
      </c>
      <c r="CN101" s="55">
        <v>0</v>
      </c>
      <c r="CO101" s="55">
        <v>0</v>
      </c>
      <c r="CP101" s="55">
        <v>0</v>
      </c>
      <c r="CQ101" s="55">
        <v>0</v>
      </c>
      <c r="CR101" s="55">
        <v>0</v>
      </c>
      <c r="CS101" s="55">
        <v>0</v>
      </c>
      <c r="CT101" s="55">
        <v>0</v>
      </c>
      <c r="CU101" s="55">
        <v>0</v>
      </c>
      <c r="CV101" s="55">
        <v>0</v>
      </c>
      <c r="CW101" s="55">
        <v>0</v>
      </c>
      <c r="CX101" s="55">
        <v>0</v>
      </c>
      <c r="CY101" s="55">
        <v>0</v>
      </c>
      <c r="CZ101" s="55">
        <v>0</v>
      </c>
      <c r="DA101" s="55">
        <v>0</v>
      </c>
      <c r="DB101" s="55">
        <v>0</v>
      </c>
      <c r="DC101" s="55">
        <v>0</v>
      </c>
      <c r="DD101" s="55">
        <v>0</v>
      </c>
      <c r="DE101" s="55">
        <v>0</v>
      </c>
      <c r="DF101" s="55">
        <v>0</v>
      </c>
      <c r="DG101" s="55">
        <v>0</v>
      </c>
      <c r="DH101" s="55">
        <v>0</v>
      </c>
      <c r="DI101" s="55">
        <v>0</v>
      </c>
      <c r="DJ101" s="56">
        <v>0</v>
      </c>
    </row>
    <row r="102" spans="80:114" x14ac:dyDescent="0.25">
      <c r="CB102" s="70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58"/>
    </row>
    <row r="103" spans="80:114" x14ac:dyDescent="0.25">
      <c r="CB103" s="70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58"/>
    </row>
    <row r="104" spans="80:114" x14ac:dyDescent="0.25">
      <c r="CB104" s="70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58"/>
    </row>
    <row r="105" spans="80:114" x14ac:dyDescent="0.25">
      <c r="CB105" s="70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58"/>
    </row>
    <row r="106" spans="80:114" x14ac:dyDescent="0.25">
      <c r="CB106" s="70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58"/>
    </row>
    <row r="107" spans="80:114" x14ac:dyDescent="0.25">
      <c r="CB107" s="70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58"/>
    </row>
    <row r="108" spans="80:114" x14ac:dyDescent="0.25">
      <c r="CB108" s="70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58"/>
    </row>
    <row r="109" spans="80:114" x14ac:dyDescent="0.25">
      <c r="CB109" s="70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58"/>
    </row>
    <row r="110" spans="80:114" x14ac:dyDescent="0.25">
      <c r="CB110" s="70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58"/>
    </row>
    <row r="111" spans="80:114" x14ac:dyDescent="0.25">
      <c r="CB111" s="70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58"/>
    </row>
    <row r="112" spans="80:114" ht="15.75" thickBot="1" x14ac:dyDescent="0.3">
      <c r="CB112" s="71"/>
      <c r="CC112" s="63"/>
      <c r="CD112" s="63"/>
      <c r="CE112" s="63"/>
      <c r="CF112" s="63"/>
      <c r="CG112" s="63"/>
      <c r="CH112" s="63"/>
      <c r="CI112" s="63"/>
      <c r="CJ112" s="63"/>
      <c r="CK112" s="63"/>
      <c r="CL112" s="63"/>
      <c r="CM112" s="63"/>
      <c r="CN112" s="63"/>
      <c r="CO112" s="63"/>
      <c r="CP112" s="63"/>
      <c r="CQ112" s="63"/>
      <c r="CR112" s="63"/>
      <c r="CS112" s="63"/>
      <c r="CT112" s="63"/>
      <c r="CU112" s="63"/>
      <c r="CV112" s="63"/>
      <c r="CW112" s="63"/>
      <c r="CX112" s="63"/>
      <c r="CY112" s="63"/>
      <c r="CZ112" s="63"/>
      <c r="DA112" s="63"/>
      <c r="DB112" s="63"/>
      <c r="DC112" s="63"/>
      <c r="DD112" s="63"/>
      <c r="DE112" s="63"/>
      <c r="DF112" s="63"/>
      <c r="DG112" s="63"/>
      <c r="DH112" s="63"/>
      <c r="DI112" s="63"/>
      <c r="DJ112" s="64"/>
    </row>
    <row r="136" spans="80:114" ht="15.75" thickBot="1" x14ac:dyDescent="0.3">
      <c r="CB136" s="14"/>
      <c r="CC136" s="14">
        <f>COUNTA(CC138:CC149)</f>
        <v>0</v>
      </c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</row>
    <row r="137" spans="80:114" x14ac:dyDescent="0.25">
      <c r="CB137" s="72"/>
      <c r="CC137" s="55"/>
      <c r="CD137" s="55">
        <f>CD4</f>
        <v>0</v>
      </c>
      <c r="CE137" s="55">
        <f t="shared" ref="CE137:DJ137" si="1">CE4</f>
        <v>0</v>
      </c>
      <c r="CF137" s="55">
        <f t="shared" si="1"/>
        <v>0</v>
      </c>
      <c r="CG137" s="55">
        <f t="shared" si="1"/>
        <v>0</v>
      </c>
      <c r="CH137" s="55">
        <f t="shared" si="1"/>
        <v>0</v>
      </c>
      <c r="CI137" s="55">
        <f t="shared" si="1"/>
        <v>0</v>
      </c>
      <c r="CJ137" s="55">
        <f t="shared" si="1"/>
        <v>0</v>
      </c>
      <c r="CK137" s="55">
        <f t="shared" si="1"/>
        <v>0</v>
      </c>
      <c r="CL137" s="55">
        <f t="shared" si="1"/>
        <v>0</v>
      </c>
      <c r="CM137" s="55">
        <f t="shared" si="1"/>
        <v>0</v>
      </c>
      <c r="CN137" s="55">
        <f t="shared" si="1"/>
        <v>0</v>
      </c>
      <c r="CO137" s="55">
        <f t="shared" si="1"/>
        <v>0</v>
      </c>
      <c r="CP137" s="55">
        <f t="shared" si="1"/>
        <v>0</v>
      </c>
      <c r="CQ137" s="55">
        <f t="shared" si="1"/>
        <v>0</v>
      </c>
      <c r="CR137" s="55">
        <f t="shared" si="1"/>
        <v>0</v>
      </c>
      <c r="CS137" s="55">
        <f t="shared" si="1"/>
        <v>0</v>
      </c>
      <c r="CT137" s="55">
        <f t="shared" si="1"/>
        <v>0</v>
      </c>
      <c r="CU137" s="55">
        <f t="shared" si="1"/>
        <v>0</v>
      </c>
      <c r="CV137" s="55">
        <f t="shared" si="1"/>
        <v>0</v>
      </c>
      <c r="CW137" s="55">
        <f t="shared" si="1"/>
        <v>0</v>
      </c>
      <c r="CX137" s="55">
        <f t="shared" si="1"/>
        <v>0</v>
      </c>
      <c r="CY137" s="55">
        <f t="shared" si="1"/>
        <v>0</v>
      </c>
      <c r="CZ137" s="55">
        <f t="shared" si="1"/>
        <v>0</v>
      </c>
      <c r="DA137" s="55">
        <f t="shared" si="1"/>
        <v>0</v>
      </c>
      <c r="DB137" s="55">
        <f t="shared" si="1"/>
        <v>0</v>
      </c>
      <c r="DC137" s="55">
        <f t="shared" si="1"/>
        <v>0</v>
      </c>
      <c r="DD137" s="55">
        <f t="shared" si="1"/>
        <v>0</v>
      </c>
      <c r="DE137" s="55">
        <f t="shared" si="1"/>
        <v>0</v>
      </c>
      <c r="DF137" s="55">
        <f t="shared" si="1"/>
        <v>0</v>
      </c>
      <c r="DG137" s="55">
        <f t="shared" si="1"/>
        <v>0</v>
      </c>
      <c r="DH137" s="55">
        <f t="shared" si="1"/>
        <v>0</v>
      </c>
      <c r="DI137" s="55">
        <f t="shared" si="1"/>
        <v>0</v>
      </c>
      <c r="DJ137" s="56">
        <f t="shared" si="1"/>
        <v>0</v>
      </c>
    </row>
    <row r="138" spans="80:114" x14ac:dyDescent="0.25">
      <c r="CB138" s="70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58"/>
    </row>
    <row r="139" spans="80:114" x14ac:dyDescent="0.25">
      <c r="CB139" s="70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58"/>
    </row>
    <row r="140" spans="80:114" x14ac:dyDescent="0.25">
      <c r="CB140" s="70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58"/>
    </row>
    <row r="141" spans="80:114" x14ac:dyDescent="0.25">
      <c r="CB141" s="70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58"/>
    </row>
    <row r="142" spans="80:114" x14ac:dyDescent="0.25">
      <c r="CB142" s="70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58"/>
    </row>
    <row r="143" spans="80:114" x14ac:dyDescent="0.25">
      <c r="CB143" s="70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58"/>
    </row>
    <row r="144" spans="80:114" x14ac:dyDescent="0.25">
      <c r="CB144" s="70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58"/>
    </row>
    <row r="145" spans="80:114" x14ac:dyDescent="0.25">
      <c r="CB145" s="70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58"/>
    </row>
    <row r="146" spans="80:114" x14ac:dyDescent="0.25">
      <c r="CB146" s="70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58"/>
    </row>
    <row r="147" spans="80:114" x14ac:dyDescent="0.25">
      <c r="CB147" s="70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58"/>
    </row>
    <row r="148" spans="80:114" x14ac:dyDescent="0.25">
      <c r="CB148" s="70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58"/>
    </row>
    <row r="149" spans="80:114" ht="15.75" thickBot="1" x14ac:dyDescent="0.3">
      <c r="CB149" s="71"/>
      <c r="CC149" s="63"/>
      <c r="CD149" s="63"/>
      <c r="CE149" s="63"/>
      <c r="CF149" s="63"/>
      <c r="CG149" s="63"/>
      <c r="CH149" s="63"/>
      <c r="CI149" s="63"/>
      <c r="CJ149" s="63"/>
      <c r="CK149" s="63"/>
      <c r="CL149" s="63"/>
      <c r="CM149" s="63"/>
      <c r="CN149" s="63"/>
      <c r="CO149" s="63"/>
      <c r="CP149" s="63"/>
      <c r="CQ149" s="63"/>
      <c r="CR149" s="63"/>
      <c r="CS149" s="63"/>
      <c r="CT149" s="63"/>
      <c r="CU149" s="63"/>
      <c r="CV149" s="63"/>
      <c r="CW149" s="63"/>
      <c r="CX149" s="63"/>
      <c r="CY149" s="63"/>
      <c r="CZ149" s="63"/>
      <c r="DA149" s="63"/>
      <c r="DB149" s="63"/>
      <c r="DC149" s="63"/>
      <c r="DD149" s="63"/>
      <c r="DE149" s="63"/>
      <c r="DF149" s="63"/>
      <c r="DG149" s="63"/>
      <c r="DH149" s="63"/>
      <c r="DI149" s="63"/>
      <c r="DJ149" s="64"/>
    </row>
    <row r="154" spans="80:114" ht="15.75" thickBot="1" x14ac:dyDescent="0.3">
      <c r="CC154">
        <f>COUNTA(CC156:CC163)</f>
        <v>0</v>
      </c>
    </row>
    <row r="155" spans="80:114" x14ac:dyDescent="0.25">
      <c r="CB155" s="72"/>
      <c r="CC155" s="55"/>
      <c r="CD155" s="55">
        <f>CD4</f>
        <v>0</v>
      </c>
      <c r="CE155" s="55">
        <f t="shared" ref="CE155:DJ155" si="2">CE4</f>
        <v>0</v>
      </c>
      <c r="CF155" s="55">
        <f t="shared" si="2"/>
        <v>0</v>
      </c>
      <c r="CG155" s="55">
        <f t="shared" si="2"/>
        <v>0</v>
      </c>
      <c r="CH155" s="55">
        <f t="shared" si="2"/>
        <v>0</v>
      </c>
      <c r="CI155" s="55">
        <f t="shared" si="2"/>
        <v>0</v>
      </c>
      <c r="CJ155" s="55">
        <f t="shared" si="2"/>
        <v>0</v>
      </c>
      <c r="CK155" s="55">
        <f t="shared" si="2"/>
        <v>0</v>
      </c>
      <c r="CL155" s="55">
        <f t="shared" si="2"/>
        <v>0</v>
      </c>
      <c r="CM155" s="55">
        <f t="shared" si="2"/>
        <v>0</v>
      </c>
      <c r="CN155" s="55">
        <f t="shared" si="2"/>
        <v>0</v>
      </c>
      <c r="CO155" s="55">
        <f t="shared" si="2"/>
        <v>0</v>
      </c>
      <c r="CP155" s="55">
        <f t="shared" si="2"/>
        <v>0</v>
      </c>
      <c r="CQ155" s="55">
        <f t="shared" si="2"/>
        <v>0</v>
      </c>
      <c r="CR155" s="55">
        <f t="shared" si="2"/>
        <v>0</v>
      </c>
      <c r="CS155" s="55">
        <f t="shared" si="2"/>
        <v>0</v>
      </c>
      <c r="CT155" s="55">
        <f t="shared" si="2"/>
        <v>0</v>
      </c>
      <c r="CU155" s="55">
        <f t="shared" si="2"/>
        <v>0</v>
      </c>
      <c r="CV155" s="55">
        <f t="shared" si="2"/>
        <v>0</v>
      </c>
      <c r="CW155" s="55">
        <f t="shared" si="2"/>
        <v>0</v>
      </c>
      <c r="CX155" s="55">
        <f t="shared" si="2"/>
        <v>0</v>
      </c>
      <c r="CY155" s="55">
        <f t="shared" si="2"/>
        <v>0</v>
      </c>
      <c r="CZ155" s="55">
        <f t="shared" si="2"/>
        <v>0</v>
      </c>
      <c r="DA155" s="55">
        <f t="shared" si="2"/>
        <v>0</v>
      </c>
      <c r="DB155" s="55">
        <f t="shared" si="2"/>
        <v>0</v>
      </c>
      <c r="DC155" s="55">
        <f t="shared" si="2"/>
        <v>0</v>
      </c>
      <c r="DD155" s="55">
        <f t="shared" si="2"/>
        <v>0</v>
      </c>
      <c r="DE155" s="55">
        <f t="shared" si="2"/>
        <v>0</v>
      </c>
      <c r="DF155" s="55">
        <f t="shared" si="2"/>
        <v>0</v>
      </c>
      <c r="DG155" s="55">
        <f t="shared" si="2"/>
        <v>0</v>
      </c>
      <c r="DH155" s="55">
        <f t="shared" si="2"/>
        <v>0</v>
      </c>
      <c r="DI155" s="55">
        <f t="shared" si="2"/>
        <v>0</v>
      </c>
      <c r="DJ155" s="56">
        <f t="shared" si="2"/>
        <v>0</v>
      </c>
    </row>
    <row r="156" spans="80:114" x14ac:dyDescent="0.25">
      <c r="CB156" s="70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4"/>
      <c r="DF156" s="14"/>
      <c r="DG156" s="14"/>
      <c r="DH156" s="14"/>
      <c r="DI156" s="14"/>
      <c r="DJ156" s="58"/>
    </row>
    <row r="157" spans="80:114" x14ac:dyDescent="0.25">
      <c r="CB157" s="70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  <c r="DI157" s="14"/>
      <c r="DJ157" s="58"/>
    </row>
    <row r="158" spans="80:114" x14ac:dyDescent="0.25">
      <c r="CB158" s="70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4"/>
      <c r="DF158" s="14"/>
      <c r="DG158" s="14"/>
      <c r="DH158" s="14"/>
      <c r="DI158" s="14"/>
      <c r="DJ158" s="58"/>
    </row>
    <row r="159" spans="80:114" x14ac:dyDescent="0.25">
      <c r="CB159" s="70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  <c r="DF159" s="14"/>
      <c r="DG159" s="14"/>
      <c r="DH159" s="14"/>
      <c r="DI159" s="14"/>
      <c r="DJ159" s="58"/>
    </row>
    <row r="160" spans="80:114" x14ac:dyDescent="0.25">
      <c r="CB160" s="70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4"/>
      <c r="DF160" s="14"/>
      <c r="DG160" s="14"/>
      <c r="DH160" s="14"/>
      <c r="DI160" s="14"/>
      <c r="DJ160" s="58"/>
    </row>
    <row r="161" spans="80:114" x14ac:dyDescent="0.25">
      <c r="CB161" s="70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4"/>
      <c r="DF161" s="14"/>
      <c r="DG161" s="14"/>
      <c r="DH161" s="14"/>
      <c r="DI161" s="14"/>
      <c r="DJ161" s="58"/>
    </row>
    <row r="162" spans="80:114" x14ac:dyDescent="0.25">
      <c r="CB162" s="70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58"/>
    </row>
    <row r="163" spans="80:114" ht="15.75" thickBot="1" x14ac:dyDescent="0.3">
      <c r="CB163" s="71"/>
      <c r="CC163" s="63"/>
      <c r="CD163" s="63"/>
      <c r="CE163" s="63"/>
      <c r="CF163" s="63"/>
      <c r="CG163" s="63"/>
      <c r="CH163" s="63"/>
      <c r="CI163" s="63"/>
      <c r="CJ163" s="63"/>
      <c r="CK163" s="63"/>
      <c r="CL163" s="63"/>
      <c r="CM163" s="63"/>
      <c r="CN163" s="63"/>
      <c r="CO163" s="63"/>
      <c r="CP163" s="63"/>
      <c r="CQ163" s="63"/>
      <c r="CR163" s="63"/>
      <c r="CS163" s="63"/>
      <c r="CT163" s="63"/>
      <c r="CU163" s="63"/>
      <c r="CV163" s="63"/>
      <c r="CW163" s="63"/>
      <c r="CX163" s="63"/>
      <c r="CY163" s="63"/>
      <c r="CZ163" s="63"/>
      <c r="DA163" s="63"/>
      <c r="DB163" s="63"/>
      <c r="DC163" s="63"/>
      <c r="DD163" s="63"/>
      <c r="DE163" s="63"/>
      <c r="DF163" s="63"/>
      <c r="DG163" s="63"/>
      <c r="DH163" s="63"/>
      <c r="DI163" s="63"/>
      <c r="DJ163" s="64"/>
    </row>
    <row r="174" spans="80:114" ht="15.75" thickBot="1" x14ac:dyDescent="0.3"/>
    <row r="175" spans="80:114" x14ac:dyDescent="0.25">
      <c r="CB175" s="72"/>
      <c r="CC175" s="55"/>
      <c r="CD175" s="55">
        <v>0</v>
      </c>
      <c r="CE175" s="55">
        <v>0</v>
      </c>
      <c r="CF175" s="55">
        <v>0</v>
      </c>
      <c r="CG175" s="55">
        <v>0</v>
      </c>
      <c r="CH175" s="55">
        <v>0</v>
      </c>
      <c r="CI175" s="55">
        <v>0</v>
      </c>
      <c r="CJ175" s="55">
        <v>0</v>
      </c>
      <c r="CK175" s="55">
        <v>0</v>
      </c>
      <c r="CL175" s="55">
        <v>0</v>
      </c>
      <c r="CM175" s="55">
        <v>0</v>
      </c>
      <c r="CN175" s="55">
        <v>0</v>
      </c>
      <c r="CO175" s="55">
        <v>0</v>
      </c>
      <c r="CP175" s="55">
        <v>0</v>
      </c>
      <c r="CQ175" s="55">
        <v>0</v>
      </c>
      <c r="CR175" s="55">
        <v>0</v>
      </c>
      <c r="CS175" s="55">
        <v>0</v>
      </c>
      <c r="CT175" s="55">
        <v>0</v>
      </c>
      <c r="CU175" s="55">
        <v>0</v>
      </c>
      <c r="CV175" s="55">
        <v>0</v>
      </c>
      <c r="CW175" s="55">
        <v>0</v>
      </c>
      <c r="CX175" s="55">
        <v>0</v>
      </c>
      <c r="CY175" s="55">
        <v>0</v>
      </c>
      <c r="CZ175" s="55">
        <v>0</v>
      </c>
      <c r="DA175" s="55">
        <v>0</v>
      </c>
      <c r="DB175" s="55">
        <v>0</v>
      </c>
      <c r="DC175" s="55">
        <v>0</v>
      </c>
      <c r="DD175" s="55">
        <v>0</v>
      </c>
      <c r="DE175" s="55">
        <v>0</v>
      </c>
      <c r="DF175" s="55">
        <v>0</v>
      </c>
      <c r="DG175" s="55">
        <v>0</v>
      </c>
      <c r="DH175" s="55">
        <v>0</v>
      </c>
      <c r="DI175" s="55">
        <v>0</v>
      </c>
      <c r="DJ175" s="56">
        <v>0</v>
      </c>
    </row>
    <row r="176" spans="80:114" x14ac:dyDescent="0.25">
      <c r="CB176" s="70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4"/>
      <c r="DF176" s="14"/>
      <c r="DG176" s="14"/>
      <c r="DH176" s="14"/>
      <c r="DI176" s="14"/>
      <c r="DJ176" s="58"/>
    </row>
    <row r="177" spans="80:114" x14ac:dyDescent="0.25">
      <c r="CB177" s="70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4"/>
      <c r="DF177" s="14"/>
      <c r="DG177" s="14"/>
      <c r="DH177" s="14"/>
      <c r="DI177" s="14"/>
      <c r="DJ177" s="58"/>
    </row>
    <row r="178" spans="80:114" x14ac:dyDescent="0.25">
      <c r="CB178" s="70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4"/>
      <c r="DF178" s="14"/>
      <c r="DG178" s="14"/>
      <c r="DH178" s="14"/>
      <c r="DI178" s="14"/>
      <c r="DJ178" s="58"/>
    </row>
    <row r="179" spans="80:114" x14ac:dyDescent="0.25">
      <c r="CB179" s="70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4"/>
      <c r="DF179" s="14"/>
      <c r="DG179" s="14"/>
      <c r="DH179" s="14"/>
      <c r="DI179" s="14"/>
      <c r="DJ179" s="58"/>
    </row>
    <row r="180" spans="80:114" x14ac:dyDescent="0.25">
      <c r="CB180" s="70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4"/>
      <c r="DF180" s="14"/>
      <c r="DG180" s="14"/>
      <c r="DH180" s="14"/>
      <c r="DI180" s="14"/>
      <c r="DJ180" s="58"/>
    </row>
    <row r="181" spans="80:114" x14ac:dyDescent="0.25">
      <c r="CB181" s="70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4"/>
      <c r="DF181" s="14"/>
      <c r="DG181" s="14"/>
      <c r="DH181" s="14"/>
      <c r="DI181" s="14"/>
      <c r="DJ181" s="58"/>
    </row>
    <row r="182" spans="80:114" x14ac:dyDescent="0.25">
      <c r="CB182" s="70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4"/>
      <c r="DG182" s="14"/>
      <c r="DH182" s="14"/>
      <c r="DI182" s="14"/>
      <c r="DJ182" s="58"/>
    </row>
    <row r="183" spans="80:114" x14ac:dyDescent="0.25">
      <c r="CB183" s="70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4"/>
      <c r="DF183" s="14"/>
      <c r="DG183" s="14"/>
      <c r="DH183" s="14"/>
      <c r="DI183" s="14"/>
      <c r="DJ183" s="58"/>
    </row>
    <row r="184" spans="80:114" x14ac:dyDescent="0.25">
      <c r="CB184" s="70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4"/>
      <c r="DF184" s="14"/>
      <c r="DG184" s="14"/>
      <c r="DH184" s="14"/>
      <c r="DI184" s="14"/>
      <c r="DJ184" s="58"/>
    </row>
    <row r="185" spans="80:114" x14ac:dyDescent="0.25">
      <c r="CB185" s="70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4"/>
      <c r="DF185" s="14"/>
      <c r="DG185" s="14"/>
      <c r="DH185" s="14"/>
      <c r="DI185" s="14"/>
      <c r="DJ185" s="58"/>
    </row>
    <row r="186" spans="80:114" x14ac:dyDescent="0.25">
      <c r="CB186" s="70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4"/>
      <c r="DF186" s="14"/>
      <c r="DG186" s="14"/>
      <c r="DH186" s="14"/>
      <c r="DI186" s="14"/>
      <c r="DJ186" s="58"/>
    </row>
    <row r="187" spans="80:114" x14ac:dyDescent="0.25">
      <c r="CB187" s="70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58"/>
    </row>
    <row r="188" spans="80:114" x14ac:dyDescent="0.25">
      <c r="CB188" s="70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58"/>
    </row>
    <row r="189" spans="80:114" x14ac:dyDescent="0.25">
      <c r="CB189" s="70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4"/>
      <c r="DF189" s="14"/>
      <c r="DG189" s="14"/>
      <c r="DH189" s="14"/>
      <c r="DI189" s="14"/>
      <c r="DJ189" s="58"/>
    </row>
    <row r="190" spans="80:114" ht="15.75" thickBot="1" x14ac:dyDescent="0.3">
      <c r="CB190" s="71"/>
      <c r="CC190" s="63"/>
      <c r="CD190" s="63"/>
      <c r="CE190" s="63"/>
      <c r="CF190" s="63"/>
      <c r="CG190" s="63"/>
      <c r="CH190" s="63"/>
      <c r="CI190" s="63"/>
      <c r="CJ190" s="63"/>
      <c r="CK190" s="63"/>
      <c r="CL190" s="63"/>
      <c r="CM190" s="63"/>
      <c r="CN190" s="63"/>
      <c r="CO190" s="63"/>
      <c r="CP190" s="63"/>
      <c r="CQ190" s="63"/>
      <c r="CR190" s="63"/>
      <c r="CS190" s="63"/>
      <c r="CT190" s="63"/>
      <c r="CU190" s="63"/>
      <c r="CV190" s="63"/>
      <c r="CW190" s="63"/>
      <c r="CX190" s="63"/>
      <c r="CY190" s="63"/>
      <c r="CZ190" s="63"/>
      <c r="DA190" s="63"/>
      <c r="DB190" s="63"/>
      <c r="DC190" s="63"/>
      <c r="DD190" s="63"/>
      <c r="DE190" s="63"/>
      <c r="DF190" s="63"/>
      <c r="DG190" s="63"/>
      <c r="DH190" s="63"/>
      <c r="DI190" s="63"/>
      <c r="DJ190" s="64"/>
    </row>
    <row r="205" spans="80:114" ht="15.75" thickBot="1" x14ac:dyDescent="0.3"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4"/>
      <c r="DF205" s="14"/>
      <c r="DG205" s="14"/>
      <c r="DH205" s="14"/>
      <c r="DI205" s="14"/>
      <c r="DJ205" s="14"/>
    </row>
    <row r="206" spans="80:114" x14ac:dyDescent="0.25">
      <c r="CB206" s="72"/>
      <c r="CC206" s="55"/>
      <c r="CD206" s="55">
        <v>0</v>
      </c>
      <c r="CE206" s="55">
        <v>0</v>
      </c>
      <c r="CF206" s="55">
        <v>0</v>
      </c>
      <c r="CG206" s="55">
        <v>0</v>
      </c>
      <c r="CH206" s="55">
        <v>0</v>
      </c>
      <c r="CI206" s="55">
        <v>0</v>
      </c>
      <c r="CJ206" s="55">
        <v>0</v>
      </c>
      <c r="CK206" s="55">
        <v>0</v>
      </c>
      <c r="CL206" s="55">
        <v>0</v>
      </c>
      <c r="CM206" s="55">
        <v>0</v>
      </c>
      <c r="CN206" s="55">
        <v>0</v>
      </c>
      <c r="CO206" s="55">
        <v>0</v>
      </c>
      <c r="CP206" s="55">
        <v>0</v>
      </c>
      <c r="CQ206" s="55">
        <v>0</v>
      </c>
      <c r="CR206" s="55">
        <v>0</v>
      </c>
      <c r="CS206" s="55">
        <v>0</v>
      </c>
      <c r="CT206" s="55">
        <v>0</v>
      </c>
      <c r="CU206" s="55">
        <v>0</v>
      </c>
      <c r="CV206" s="55">
        <v>0</v>
      </c>
      <c r="CW206" s="55">
        <v>0</v>
      </c>
      <c r="CX206" s="55">
        <v>0</v>
      </c>
      <c r="CY206" s="55">
        <v>0</v>
      </c>
      <c r="CZ206" s="55">
        <v>0</v>
      </c>
      <c r="DA206" s="55">
        <v>0</v>
      </c>
      <c r="DB206" s="55">
        <v>0</v>
      </c>
      <c r="DC206" s="55">
        <v>0</v>
      </c>
      <c r="DD206" s="55">
        <v>0</v>
      </c>
      <c r="DE206" s="55">
        <v>0</v>
      </c>
      <c r="DF206" s="55">
        <v>0</v>
      </c>
      <c r="DG206" s="55">
        <v>0</v>
      </c>
      <c r="DH206" s="55">
        <v>0</v>
      </c>
      <c r="DI206" s="55">
        <v>0</v>
      </c>
      <c r="DJ206" s="56">
        <v>0</v>
      </c>
    </row>
    <row r="207" spans="80:114" x14ac:dyDescent="0.25">
      <c r="CB207" s="70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  <c r="DE207" s="14"/>
      <c r="DF207" s="14"/>
      <c r="DG207" s="14"/>
      <c r="DH207" s="14"/>
      <c r="DI207" s="14"/>
      <c r="DJ207" s="58"/>
    </row>
    <row r="208" spans="80:114" x14ac:dyDescent="0.25">
      <c r="CB208" s="70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  <c r="DE208" s="14"/>
      <c r="DF208" s="14"/>
      <c r="DG208" s="14"/>
      <c r="DH208" s="14"/>
      <c r="DI208" s="14"/>
      <c r="DJ208" s="58"/>
    </row>
    <row r="209" spans="80:114" x14ac:dyDescent="0.25">
      <c r="CB209" s="70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4"/>
      <c r="DF209" s="14"/>
      <c r="DG209" s="14"/>
      <c r="DH209" s="14"/>
      <c r="DI209" s="14"/>
      <c r="DJ209" s="58"/>
    </row>
    <row r="210" spans="80:114" x14ac:dyDescent="0.25">
      <c r="CB210" s="70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  <c r="DD210" s="14"/>
      <c r="DE210" s="14"/>
      <c r="DF210" s="14"/>
      <c r="DG210" s="14"/>
      <c r="DH210" s="14"/>
      <c r="DI210" s="14"/>
      <c r="DJ210" s="58"/>
    </row>
    <row r="211" spans="80:114" x14ac:dyDescent="0.25">
      <c r="CB211" s="70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  <c r="DD211" s="14"/>
      <c r="DE211" s="14"/>
      <c r="DF211" s="14"/>
      <c r="DG211" s="14"/>
      <c r="DH211" s="14"/>
      <c r="DI211" s="14"/>
      <c r="DJ211" s="58"/>
    </row>
    <row r="212" spans="80:114" x14ac:dyDescent="0.25">
      <c r="CB212" s="70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  <c r="DD212" s="14"/>
      <c r="DE212" s="14"/>
      <c r="DF212" s="14"/>
      <c r="DG212" s="14"/>
      <c r="DH212" s="14"/>
      <c r="DI212" s="14"/>
      <c r="DJ212" s="58"/>
    </row>
    <row r="213" spans="80:114" x14ac:dyDescent="0.25">
      <c r="CB213" s="70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  <c r="DD213" s="14"/>
      <c r="DE213" s="14"/>
      <c r="DF213" s="14"/>
      <c r="DG213" s="14"/>
      <c r="DH213" s="14"/>
      <c r="DI213" s="14"/>
      <c r="DJ213" s="58"/>
    </row>
    <row r="214" spans="80:114" x14ac:dyDescent="0.25">
      <c r="CB214" s="70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  <c r="DD214" s="14"/>
      <c r="DE214" s="14"/>
      <c r="DF214" s="14"/>
      <c r="DG214" s="14"/>
      <c r="DH214" s="14"/>
      <c r="DI214" s="14"/>
      <c r="DJ214" s="58"/>
    </row>
    <row r="215" spans="80:114" x14ac:dyDescent="0.25">
      <c r="CB215" s="70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4"/>
      <c r="DF215" s="14"/>
      <c r="DG215" s="14"/>
      <c r="DH215" s="14"/>
      <c r="DI215" s="14"/>
      <c r="DJ215" s="58"/>
    </row>
    <row r="216" spans="80:114" x14ac:dyDescent="0.25">
      <c r="CB216" s="70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  <c r="DD216" s="14"/>
      <c r="DE216" s="14"/>
      <c r="DF216" s="14"/>
      <c r="DG216" s="14"/>
      <c r="DH216" s="14"/>
      <c r="DI216" s="14"/>
      <c r="DJ216" s="58"/>
    </row>
    <row r="217" spans="80:114" x14ac:dyDescent="0.25">
      <c r="CB217" s="70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  <c r="DD217" s="14"/>
      <c r="DE217" s="14"/>
      <c r="DF217" s="14"/>
      <c r="DG217" s="14"/>
      <c r="DH217" s="14"/>
      <c r="DI217" s="14"/>
      <c r="DJ217" s="58"/>
    </row>
    <row r="218" spans="80:114" x14ac:dyDescent="0.25">
      <c r="CB218" s="70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4"/>
      <c r="DF218" s="14"/>
      <c r="DG218" s="14"/>
      <c r="DH218" s="14"/>
      <c r="DI218" s="14"/>
      <c r="DJ218" s="58"/>
    </row>
    <row r="219" spans="80:114" x14ac:dyDescent="0.25">
      <c r="CB219" s="70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58"/>
    </row>
    <row r="220" spans="80:114" ht="15.75" thickBot="1" x14ac:dyDescent="0.3">
      <c r="CB220" s="71"/>
      <c r="CC220" s="63"/>
      <c r="CD220" s="63"/>
      <c r="CE220" s="63"/>
      <c r="CF220" s="63"/>
      <c r="CG220" s="63"/>
      <c r="CH220" s="63"/>
      <c r="CI220" s="63"/>
      <c r="CJ220" s="63"/>
      <c r="CK220" s="63"/>
      <c r="CL220" s="63"/>
      <c r="CM220" s="63"/>
      <c r="CN220" s="63"/>
      <c r="CO220" s="63"/>
      <c r="CP220" s="63"/>
      <c r="CQ220" s="63"/>
      <c r="CR220" s="63"/>
      <c r="CS220" s="63"/>
      <c r="CT220" s="63"/>
      <c r="CU220" s="63"/>
      <c r="CV220" s="63"/>
      <c r="CW220" s="63"/>
      <c r="CX220" s="63"/>
      <c r="CY220" s="63"/>
      <c r="CZ220" s="63"/>
      <c r="DA220" s="63"/>
      <c r="DB220" s="63"/>
      <c r="DC220" s="63"/>
      <c r="DD220" s="63"/>
      <c r="DE220" s="63"/>
      <c r="DF220" s="63"/>
      <c r="DG220" s="63"/>
      <c r="DH220" s="63"/>
      <c r="DI220" s="63"/>
      <c r="DJ220" s="6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X222"/>
  <sheetViews>
    <sheetView showGridLines="0" tabSelected="1" showWhiteSpace="0" view="pageLayout" topLeftCell="BU81" zoomScale="115" zoomScaleNormal="55" zoomScalePageLayoutView="115" workbookViewId="0">
      <selection activeCell="ET46" sqref="ET46"/>
    </sheetView>
  </sheetViews>
  <sheetFormatPr baseColWidth="10" defaultColWidth="11.42578125" defaultRowHeight="15" x14ac:dyDescent="0.25"/>
  <cols>
    <col min="1" max="1" width="17.28515625" bestFit="1" customWidth="1"/>
    <col min="2" max="2" width="8.5703125" bestFit="1" customWidth="1"/>
    <col min="3" max="40" width="4.85546875" customWidth="1"/>
    <col min="41" max="41" width="17.28515625" bestFit="1" customWidth="1"/>
    <col min="42" max="42" width="8.5703125" bestFit="1" customWidth="1"/>
    <col min="43" max="79" width="4.85546875" customWidth="1"/>
    <col min="80" max="80" width="17.28515625" bestFit="1" customWidth="1"/>
    <col min="81" max="81" width="8.5703125" bestFit="1" customWidth="1"/>
    <col min="82" max="119" width="4.85546875" customWidth="1"/>
    <col min="120" max="120" width="17.28515625" bestFit="1" customWidth="1"/>
    <col min="121" max="121" width="8.5703125" bestFit="1" customWidth="1"/>
    <col min="122" max="159" width="4.7109375" customWidth="1"/>
  </cols>
  <sheetData>
    <row r="1" spans="1:154" ht="29.25" customHeight="1" thickBot="1" x14ac:dyDescent="0.3">
      <c r="A1" s="1"/>
      <c r="B1" s="1"/>
      <c r="C1" s="1"/>
      <c r="D1" s="1"/>
      <c r="E1" s="18" t="s">
        <v>7</v>
      </c>
      <c r="F1" s="19"/>
      <c r="G1" s="19"/>
      <c r="H1" s="19"/>
      <c r="I1" s="19"/>
      <c r="J1" s="19"/>
      <c r="K1" s="20"/>
      <c r="L1" s="18" t="s">
        <v>35</v>
      </c>
      <c r="M1" s="19"/>
      <c r="N1" s="19"/>
      <c r="O1" s="19"/>
      <c r="P1" s="19"/>
      <c r="Q1" s="20"/>
      <c r="R1" s="18" t="s">
        <v>5</v>
      </c>
      <c r="S1" s="25"/>
      <c r="T1" s="26"/>
      <c r="U1" s="1"/>
      <c r="AO1" s="1"/>
      <c r="AP1" s="1"/>
      <c r="AQ1" s="1"/>
      <c r="AR1" s="1"/>
      <c r="AS1" s="18" t="s">
        <v>14</v>
      </c>
      <c r="AT1" s="19"/>
      <c r="AU1" s="19"/>
      <c r="AV1" s="19"/>
      <c r="AW1" s="19"/>
      <c r="AX1" s="19"/>
      <c r="AY1" s="20"/>
      <c r="AZ1" s="28" t="s">
        <v>36</v>
      </c>
      <c r="BA1" s="19"/>
      <c r="BB1" s="19"/>
      <c r="BC1" s="19"/>
      <c r="BD1" s="19"/>
      <c r="BE1" s="20"/>
      <c r="BF1" s="18" t="s">
        <v>12</v>
      </c>
      <c r="BG1" s="25"/>
      <c r="BH1" s="26"/>
      <c r="BI1" s="1"/>
      <c r="BJ1" s="1"/>
      <c r="BK1" s="1"/>
      <c r="BL1" s="1"/>
      <c r="BM1" s="1"/>
      <c r="BN1" s="1"/>
      <c r="BO1" s="1"/>
      <c r="BP1" s="1"/>
      <c r="BQ1" s="1"/>
      <c r="BR1" s="1"/>
      <c r="CC1" s="1"/>
      <c r="CD1" s="1"/>
      <c r="CE1" s="1"/>
      <c r="CF1" s="24" t="s">
        <v>7</v>
      </c>
      <c r="CG1" s="19"/>
      <c r="CH1" s="19"/>
      <c r="CI1" s="19"/>
      <c r="CJ1" s="19"/>
      <c r="CK1" s="19"/>
      <c r="CL1" s="19"/>
      <c r="CM1" s="18" t="s">
        <v>37</v>
      </c>
      <c r="CN1" s="19"/>
      <c r="CO1" s="19"/>
      <c r="CP1" s="19"/>
      <c r="CQ1" s="19"/>
      <c r="CR1" s="20"/>
      <c r="CS1" s="18" t="s">
        <v>17</v>
      </c>
      <c r="CT1" s="25"/>
      <c r="CU1" s="26"/>
      <c r="CV1" s="1"/>
      <c r="CW1" s="1"/>
      <c r="CX1" s="1"/>
      <c r="CY1" s="1"/>
      <c r="DP1" s="1"/>
      <c r="DQ1" s="1"/>
      <c r="DR1" s="1"/>
      <c r="DS1" s="1"/>
      <c r="DT1" s="18" t="s">
        <v>7</v>
      </c>
      <c r="DU1" s="19"/>
      <c r="DV1" s="19"/>
      <c r="DW1" s="19"/>
      <c r="DX1" s="19"/>
      <c r="DY1" s="19"/>
      <c r="DZ1" s="20"/>
      <c r="EA1" s="18" t="s">
        <v>37</v>
      </c>
      <c r="EB1" s="19"/>
      <c r="EC1" s="19"/>
      <c r="ED1" s="19"/>
      <c r="EE1" s="19"/>
      <c r="EF1" s="20"/>
      <c r="EG1" s="18" t="s">
        <v>32</v>
      </c>
      <c r="EH1" s="25"/>
      <c r="EI1" s="26"/>
      <c r="EJ1" s="1"/>
      <c r="EK1" s="1"/>
      <c r="EL1" s="1"/>
      <c r="EM1" s="1"/>
    </row>
    <row r="2" spans="1:154" ht="32.25" customHeight="1" thickBot="1" x14ac:dyDescent="0.3">
      <c r="A2" s="1"/>
      <c r="B2" s="1"/>
      <c r="C2" s="1"/>
      <c r="D2" s="1"/>
      <c r="E2" s="21"/>
      <c r="F2" s="22"/>
      <c r="G2" s="22"/>
      <c r="H2" s="22"/>
      <c r="I2" s="22"/>
      <c r="J2" s="22"/>
      <c r="K2" s="23"/>
      <c r="L2" s="21"/>
      <c r="M2" s="22"/>
      <c r="N2" s="22"/>
      <c r="O2" s="22"/>
      <c r="P2" s="22"/>
      <c r="Q2" s="23"/>
      <c r="R2" s="27" t="s">
        <v>6</v>
      </c>
      <c r="S2" s="25"/>
      <c r="T2" s="26"/>
      <c r="U2" s="1"/>
      <c r="AO2" s="1"/>
      <c r="AP2" s="1"/>
      <c r="AQ2" s="1"/>
      <c r="AR2" s="1"/>
      <c r="AS2" s="21"/>
      <c r="AT2" s="22"/>
      <c r="AU2" s="22"/>
      <c r="AV2" s="22"/>
      <c r="AW2" s="22"/>
      <c r="AX2" s="22"/>
      <c r="AY2" s="23"/>
      <c r="AZ2" s="21"/>
      <c r="BA2" s="22"/>
      <c r="BB2" s="22"/>
      <c r="BC2" s="22"/>
      <c r="BD2" s="22"/>
      <c r="BE2" s="23"/>
      <c r="BF2" s="27" t="s">
        <v>13</v>
      </c>
      <c r="BG2" s="25"/>
      <c r="BH2" s="26"/>
      <c r="BI2" s="1"/>
      <c r="BJ2" s="1"/>
      <c r="BK2" s="1"/>
      <c r="BL2" s="1"/>
      <c r="BM2" s="1"/>
      <c r="BN2" s="1"/>
      <c r="BO2" s="1"/>
      <c r="BP2" s="1"/>
      <c r="BQ2" s="1"/>
      <c r="BR2" s="1"/>
      <c r="CC2" s="1"/>
      <c r="CD2" s="1"/>
      <c r="CE2" s="1"/>
      <c r="CF2" s="21"/>
      <c r="CG2" s="22"/>
      <c r="CH2" s="22"/>
      <c r="CI2" s="22"/>
      <c r="CJ2" s="22"/>
      <c r="CK2" s="22"/>
      <c r="CL2" s="22"/>
      <c r="CM2" s="21"/>
      <c r="CN2" s="22"/>
      <c r="CO2" s="22"/>
      <c r="CP2" s="22"/>
      <c r="CQ2" s="22"/>
      <c r="CR2" s="23"/>
      <c r="CS2" s="29" t="s">
        <v>29</v>
      </c>
      <c r="CT2" s="22"/>
      <c r="CU2" s="23"/>
      <c r="CV2" s="1"/>
      <c r="CW2" s="1"/>
      <c r="CX2" s="1"/>
      <c r="CY2" s="1"/>
      <c r="DP2" s="1"/>
      <c r="DQ2" s="1"/>
      <c r="DR2" s="1"/>
      <c r="DS2" s="1"/>
      <c r="DT2" s="21"/>
      <c r="DU2" s="22"/>
      <c r="DV2" s="22"/>
      <c r="DW2" s="22"/>
      <c r="DX2" s="22"/>
      <c r="DY2" s="22"/>
      <c r="DZ2" s="23"/>
      <c r="EA2" s="21"/>
      <c r="EB2" s="22"/>
      <c r="EC2" s="22"/>
      <c r="ED2" s="22"/>
      <c r="EE2" s="22"/>
      <c r="EF2" s="23"/>
      <c r="EG2" s="30" t="s">
        <v>6</v>
      </c>
      <c r="EH2" s="25"/>
      <c r="EI2" s="26"/>
      <c r="EJ2" s="1"/>
      <c r="EK2" s="1"/>
      <c r="EL2" s="1"/>
      <c r="EM2" s="1"/>
    </row>
    <row r="3" spans="1:154" ht="15.75" customHeight="1" thickBot="1" x14ac:dyDescent="0.3">
      <c r="A3" s="4" t="s">
        <v>38</v>
      </c>
      <c r="B3" s="4">
        <f>COUNTA(B5:B15)</f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AO3" s="4" t="s">
        <v>38</v>
      </c>
      <c r="AP3" s="4">
        <f>COUNTA(AP5:AP23)</f>
        <v>0</v>
      </c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CB3" s="4" t="s">
        <v>38</v>
      </c>
      <c r="CC3" s="4">
        <f>COUNTA(CC5:CC12)</f>
        <v>0</v>
      </c>
      <c r="DP3" s="4" t="s">
        <v>38</v>
      </c>
      <c r="DQ3" s="4">
        <f>COUNTA(DQ5:DQ15)</f>
        <v>0</v>
      </c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</row>
    <row r="4" spans="1:154" ht="15.75" customHeight="1" thickBot="1" x14ac:dyDescent="0.3">
      <c r="A4" s="37" t="s">
        <v>39</v>
      </c>
      <c r="B4" s="38" t="s">
        <v>40</v>
      </c>
      <c r="C4" s="39">
        <v>46279</v>
      </c>
      <c r="D4" s="39">
        <v>46286</v>
      </c>
      <c r="E4" s="39">
        <v>46293</v>
      </c>
      <c r="F4" s="39">
        <v>46300</v>
      </c>
      <c r="G4" s="40">
        <v>46307</v>
      </c>
      <c r="H4" s="41">
        <v>46328</v>
      </c>
      <c r="I4" s="41">
        <v>46335</v>
      </c>
      <c r="J4" s="39">
        <v>46342</v>
      </c>
      <c r="K4" s="39">
        <v>46349</v>
      </c>
      <c r="L4" s="39">
        <v>46356</v>
      </c>
      <c r="M4" s="39">
        <v>46363</v>
      </c>
      <c r="N4" s="40">
        <v>46370</v>
      </c>
      <c r="O4" s="41">
        <v>46391</v>
      </c>
      <c r="P4" s="41">
        <v>46398</v>
      </c>
      <c r="Q4" s="39">
        <v>46405</v>
      </c>
      <c r="R4" s="39">
        <v>46412</v>
      </c>
      <c r="S4" s="39">
        <v>46419</v>
      </c>
      <c r="T4" s="40">
        <v>46426</v>
      </c>
      <c r="U4" s="41">
        <v>46447</v>
      </c>
      <c r="V4" s="39">
        <v>46454</v>
      </c>
      <c r="W4" s="39">
        <v>46461</v>
      </c>
      <c r="X4" s="42">
        <v>46468</v>
      </c>
      <c r="Y4" s="42">
        <v>46475</v>
      </c>
      <c r="Z4" s="40">
        <v>46482</v>
      </c>
      <c r="AA4" s="43">
        <v>46503</v>
      </c>
      <c r="AB4" s="39">
        <v>46510</v>
      </c>
      <c r="AC4" s="39">
        <v>46517</v>
      </c>
      <c r="AD4" s="42">
        <v>46524</v>
      </c>
      <c r="AE4" s="39">
        <v>46531</v>
      </c>
      <c r="AF4" s="39">
        <v>46538</v>
      </c>
      <c r="AG4" s="39">
        <v>46545</v>
      </c>
      <c r="AH4" s="39">
        <v>46552</v>
      </c>
      <c r="AI4" s="44">
        <v>46559</v>
      </c>
      <c r="AO4" s="37" t="s">
        <v>39</v>
      </c>
      <c r="AP4" s="38" t="s">
        <v>40</v>
      </c>
      <c r="AQ4" s="39">
        <f>C4+1</f>
        <v>46280</v>
      </c>
      <c r="AR4" s="39">
        <f t="shared" ref="AR4:BW4" si="0">AQ4+7</f>
        <v>46287</v>
      </c>
      <c r="AS4" s="39">
        <f t="shared" si="0"/>
        <v>46294</v>
      </c>
      <c r="AT4" s="39">
        <f t="shared" si="0"/>
        <v>46301</v>
      </c>
      <c r="AU4" s="39">
        <f t="shared" si="0"/>
        <v>46308</v>
      </c>
      <c r="AV4" s="40">
        <f t="shared" si="0"/>
        <v>46315</v>
      </c>
      <c r="AW4" s="41">
        <f t="shared" si="0"/>
        <v>46322</v>
      </c>
      <c r="AX4" s="39">
        <f t="shared" si="0"/>
        <v>46329</v>
      </c>
      <c r="AY4" s="39">
        <f t="shared" si="0"/>
        <v>46336</v>
      </c>
      <c r="AZ4" s="39">
        <f t="shared" si="0"/>
        <v>46343</v>
      </c>
      <c r="BA4" s="39">
        <f t="shared" si="0"/>
        <v>46350</v>
      </c>
      <c r="BB4" s="39">
        <f t="shared" si="0"/>
        <v>46357</v>
      </c>
      <c r="BC4" s="40">
        <f t="shared" si="0"/>
        <v>46364</v>
      </c>
      <c r="BD4" s="41">
        <f t="shared" si="0"/>
        <v>46371</v>
      </c>
      <c r="BE4" s="39">
        <f t="shared" si="0"/>
        <v>46378</v>
      </c>
      <c r="BF4" s="39">
        <f t="shared" si="0"/>
        <v>46385</v>
      </c>
      <c r="BG4" s="39">
        <f t="shared" si="0"/>
        <v>46392</v>
      </c>
      <c r="BH4" s="39">
        <f t="shared" si="0"/>
        <v>46399</v>
      </c>
      <c r="BI4" s="40">
        <f t="shared" si="0"/>
        <v>46406</v>
      </c>
      <c r="BJ4" s="41">
        <f t="shared" si="0"/>
        <v>46413</v>
      </c>
      <c r="BK4" s="39">
        <f t="shared" si="0"/>
        <v>46420</v>
      </c>
      <c r="BL4" s="42">
        <f t="shared" si="0"/>
        <v>46427</v>
      </c>
      <c r="BM4" s="42">
        <f t="shared" si="0"/>
        <v>46434</v>
      </c>
      <c r="BN4" s="39">
        <f t="shared" si="0"/>
        <v>46441</v>
      </c>
      <c r="BO4" s="40">
        <f t="shared" si="0"/>
        <v>46448</v>
      </c>
      <c r="BP4" s="41">
        <f t="shared" si="0"/>
        <v>46455</v>
      </c>
      <c r="BQ4" s="39">
        <f t="shared" si="0"/>
        <v>46462</v>
      </c>
      <c r="BR4" s="73">
        <f t="shared" si="0"/>
        <v>46469</v>
      </c>
      <c r="BS4" s="39">
        <f t="shared" si="0"/>
        <v>46476</v>
      </c>
      <c r="BT4" s="39">
        <f t="shared" si="0"/>
        <v>46483</v>
      </c>
      <c r="BU4" s="39">
        <f t="shared" si="0"/>
        <v>46490</v>
      </c>
      <c r="BV4" s="39">
        <f t="shared" si="0"/>
        <v>46497</v>
      </c>
      <c r="BW4" s="44">
        <f t="shared" si="0"/>
        <v>46504</v>
      </c>
      <c r="CB4" s="37" t="s">
        <v>39</v>
      </c>
      <c r="CC4" s="38" t="s">
        <v>40</v>
      </c>
      <c r="CD4" s="39">
        <f t="shared" ref="CD4:DJ4" si="1">C4+2</f>
        <v>46281</v>
      </c>
      <c r="CE4" s="39">
        <f t="shared" si="1"/>
        <v>46288</v>
      </c>
      <c r="CF4" s="39">
        <f t="shared" si="1"/>
        <v>46295</v>
      </c>
      <c r="CG4" s="39">
        <f t="shared" si="1"/>
        <v>46302</v>
      </c>
      <c r="CH4" s="40">
        <f t="shared" si="1"/>
        <v>46309</v>
      </c>
      <c r="CI4" s="41">
        <f t="shared" si="1"/>
        <v>46330</v>
      </c>
      <c r="CJ4" s="80">
        <f t="shared" si="1"/>
        <v>46337</v>
      </c>
      <c r="CK4" s="39">
        <f t="shared" si="1"/>
        <v>46344</v>
      </c>
      <c r="CL4" s="39">
        <f t="shared" si="1"/>
        <v>46351</v>
      </c>
      <c r="CM4" s="39">
        <f t="shared" si="1"/>
        <v>46358</v>
      </c>
      <c r="CN4" s="39">
        <f t="shared" si="1"/>
        <v>46365</v>
      </c>
      <c r="CO4" s="40">
        <f t="shared" si="1"/>
        <v>46372</v>
      </c>
      <c r="CP4" s="41">
        <f t="shared" si="1"/>
        <v>46393</v>
      </c>
      <c r="CQ4" s="41">
        <f t="shared" si="1"/>
        <v>46400</v>
      </c>
      <c r="CR4" s="39">
        <f t="shared" si="1"/>
        <v>46407</v>
      </c>
      <c r="CS4" s="39">
        <f t="shared" si="1"/>
        <v>46414</v>
      </c>
      <c r="CT4" s="39">
        <f t="shared" si="1"/>
        <v>46421</v>
      </c>
      <c r="CU4" s="40">
        <f t="shared" si="1"/>
        <v>46428</v>
      </c>
      <c r="CV4" s="41">
        <f t="shared" si="1"/>
        <v>46449</v>
      </c>
      <c r="CW4" s="41">
        <f t="shared" si="1"/>
        <v>46456</v>
      </c>
      <c r="CX4" s="39">
        <f t="shared" si="1"/>
        <v>46463</v>
      </c>
      <c r="CY4" s="42">
        <f t="shared" si="1"/>
        <v>46470</v>
      </c>
      <c r="CZ4" s="42">
        <f t="shared" si="1"/>
        <v>46477</v>
      </c>
      <c r="DA4" s="40">
        <f t="shared" si="1"/>
        <v>46484</v>
      </c>
      <c r="DB4" s="41">
        <f t="shared" si="1"/>
        <v>46505</v>
      </c>
      <c r="DC4" s="41">
        <f t="shared" si="1"/>
        <v>46512</v>
      </c>
      <c r="DD4" s="39">
        <f t="shared" si="1"/>
        <v>46519</v>
      </c>
      <c r="DE4" s="39">
        <f t="shared" si="1"/>
        <v>46526</v>
      </c>
      <c r="DF4" s="39">
        <f t="shared" si="1"/>
        <v>46533</v>
      </c>
      <c r="DG4" s="39">
        <f t="shared" si="1"/>
        <v>46540</v>
      </c>
      <c r="DH4" s="39">
        <f t="shared" si="1"/>
        <v>46547</v>
      </c>
      <c r="DI4" s="39">
        <f t="shared" si="1"/>
        <v>46554</v>
      </c>
      <c r="DJ4" s="44">
        <f t="shared" si="1"/>
        <v>46561</v>
      </c>
      <c r="DP4" s="37" t="s">
        <v>39</v>
      </c>
      <c r="DQ4" s="38" t="s">
        <v>40</v>
      </c>
      <c r="DR4" s="39">
        <f t="shared" ref="DR4:EX4" si="2">C4+5</f>
        <v>46284</v>
      </c>
      <c r="DS4" s="39">
        <f t="shared" si="2"/>
        <v>46291</v>
      </c>
      <c r="DT4" s="39">
        <f t="shared" si="2"/>
        <v>46298</v>
      </c>
      <c r="DU4" s="39">
        <f t="shared" si="2"/>
        <v>46305</v>
      </c>
      <c r="DV4" s="40">
        <f t="shared" si="2"/>
        <v>46312</v>
      </c>
      <c r="DW4" s="41">
        <f t="shared" si="2"/>
        <v>46333</v>
      </c>
      <c r="DX4" s="86">
        <f t="shared" si="2"/>
        <v>46340</v>
      </c>
      <c r="DY4" s="39">
        <f t="shared" si="2"/>
        <v>46347</v>
      </c>
      <c r="DZ4" s="39">
        <f t="shared" si="2"/>
        <v>46354</v>
      </c>
      <c r="EA4" s="39">
        <f t="shared" si="2"/>
        <v>46361</v>
      </c>
      <c r="EB4" s="39">
        <f t="shared" si="2"/>
        <v>46368</v>
      </c>
      <c r="EC4" s="40">
        <f t="shared" si="2"/>
        <v>46375</v>
      </c>
      <c r="ED4" s="41">
        <f t="shared" si="2"/>
        <v>46396</v>
      </c>
      <c r="EE4" s="41">
        <f t="shared" si="2"/>
        <v>46403</v>
      </c>
      <c r="EF4" s="39">
        <f t="shared" si="2"/>
        <v>46410</v>
      </c>
      <c r="EG4" s="39">
        <f t="shared" si="2"/>
        <v>46417</v>
      </c>
      <c r="EH4" s="39">
        <f t="shared" si="2"/>
        <v>46424</v>
      </c>
      <c r="EI4" s="40">
        <f t="shared" si="2"/>
        <v>46431</v>
      </c>
      <c r="EJ4" s="41">
        <f t="shared" si="2"/>
        <v>46452</v>
      </c>
      <c r="EK4" s="41">
        <f t="shared" si="2"/>
        <v>46459</v>
      </c>
      <c r="EL4" s="39">
        <f t="shared" si="2"/>
        <v>46466</v>
      </c>
      <c r="EM4" s="42">
        <f t="shared" si="2"/>
        <v>46473</v>
      </c>
      <c r="EN4" s="42">
        <f t="shared" si="2"/>
        <v>46480</v>
      </c>
      <c r="EO4" s="40">
        <f t="shared" si="2"/>
        <v>46487</v>
      </c>
      <c r="EP4" s="41">
        <f t="shared" si="2"/>
        <v>46508</v>
      </c>
      <c r="EQ4" s="41">
        <f t="shared" si="2"/>
        <v>46515</v>
      </c>
      <c r="ER4" s="39">
        <f t="shared" si="2"/>
        <v>46522</v>
      </c>
      <c r="ES4" s="39">
        <f t="shared" si="2"/>
        <v>46529</v>
      </c>
      <c r="ET4" s="39">
        <f t="shared" si="2"/>
        <v>46536</v>
      </c>
      <c r="EU4" s="39">
        <f t="shared" si="2"/>
        <v>46543</v>
      </c>
      <c r="EV4" s="39">
        <f t="shared" si="2"/>
        <v>46550</v>
      </c>
      <c r="EW4" s="39">
        <f t="shared" si="2"/>
        <v>46557</v>
      </c>
      <c r="EX4" s="44">
        <f t="shared" si="2"/>
        <v>46564</v>
      </c>
    </row>
    <row r="5" spans="1:154" ht="15.75" customHeight="1" thickTop="1" x14ac:dyDescent="0.25">
      <c r="A5" s="45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46"/>
      <c r="AO5" s="45"/>
      <c r="AP5" s="10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46"/>
      <c r="CB5" s="45"/>
      <c r="CC5" s="10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46"/>
      <c r="DP5" s="45"/>
      <c r="DQ5" s="10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46"/>
    </row>
    <row r="6" spans="1:154" x14ac:dyDescent="0.25">
      <c r="A6" s="47"/>
      <c r="B6" s="12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48"/>
      <c r="AO6" s="47"/>
      <c r="AP6" s="12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48"/>
      <c r="CB6" s="47"/>
      <c r="CC6" s="12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48"/>
      <c r="DP6" s="47"/>
      <c r="DQ6" s="12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48"/>
    </row>
    <row r="7" spans="1:154" x14ac:dyDescent="0.25">
      <c r="A7" s="45"/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46"/>
      <c r="AO7" s="45"/>
      <c r="AP7" s="10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46"/>
      <c r="CB7" s="45"/>
      <c r="CC7" s="10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46"/>
      <c r="DP7" s="45"/>
      <c r="DQ7" s="10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46"/>
    </row>
    <row r="8" spans="1:154" x14ac:dyDescent="0.25">
      <c r="A8" s="47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48"/>
      <c r="AO8" s="47"/>
      <c r="AP8" s="12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48"/>
      <c r="CB8" s="47"/>
      <c r="CC8" s="12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48"/>
      <c r="DP8" s="47"/>
      <c r="DQ8" s="12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48"/>
    </row>
    <row r="9" spans="1:154" x14ac:dyDescent="0.25">
      <c r="A9" s="45"/>
      <c r="B9" s="10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46"/>
      <c r="AO9" s="45"/>
      <c r="AP9" s="10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46"/>
      <c r="CB9" s="45"/>
      <c r="CC9" s="10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46"/>
      <c r="DP9" s="45"/>
      <c r="DQ9" s="10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46"/>
    </row>
    <row r="10" spans="1:154" x14ac:dyDescent="0.25">
      <c r="A10" s="47"/>
      <c r="B10" s="12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48"/>
      <c r="AO10" s="47"/>
      <c r="AP10" s="12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48"/>
      <c r="CB10" s="47"/>
      <c r="CC10" s="12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48"/>
      <c r="DP10" s="47"/>
      <c r="DQ10" s="12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48"/>
    </row>
    <row r="11" spans="1:154" x14ac:dyDescent="0.25">
      <c r="A11" s="45"/>
      <c r="B11" s="10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46"/>
      <c r="AO11" s="45"/>
      <c r="AP11" s="10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46"/>
      <c r="CB11" s="45"/>
      <c r="CC11" s="10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46"/>
      <c r="DP11" s="45"/>
      <c r="DQ11" s="10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46"/>
    </row>
    <row r="12" spans="1:154" ht="15.75" customHeight="1" thickBot="1" x14ac:dyDescent="0.3">
      <c r="A12" s="47"/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48"/>
      <c r="AO12" s="47"/>
      <c r="AP12" s="12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48"/>
      <c r="CB12" s="74"/>
      <c r="CC12" s="75"/>
      <c r="CD12" s="76"/>
      <c r="CE12" s="76"/>
      <c r="CF12" s="76"/>
      <c r="CG12" s="76"/>
      <c r="CH12" s="76"/>
      <c r="CI12" s="76"/>
      <c r="CJ12" s="76"/>
      <c r="CK12" s="76"/>
      <c r="CL12" s="76"/>
      <c r="CM12" s="76"/>
      <c r="CN12" s="76"/>
      <c r="CO12" s="76"/>
      <c r="CP12" s="76"/>
      <c r="CQ12" s="76"/>
      <c r="CR12" s="76"/>
      <c r="CS12" s="76"/>
      <c r="CT12" s="76"/>
      <c r="CU12" s="76"/>
      <c r="CV12" s="76"/>
      <c r="CW12" s="76"/>
      <c r="CX12" s="76"/>
      <c r="CY12" s="76"/>
      <c r="CZ12" s="76"/>
      <c r="DA12" s="76"/>
      <c r="DB12" s="76"/>
      <c r="DC12" s="76"/>
      <c r="DD12" s="76"/>
      <c r="DE12" s="76"/>
      <c r="DF12" s="76"/>
      <c r="DG12" s="76"/>
      <c r="DH12" s="76"/>
      <c r="DI12" s="76"/>
      <c r="DJ12" s="77"/>
      <c r="DP12" s="47"/>
      <c r="DQ12" s="12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48"/>
    </row>
    <row r="13" spans="1:154" ht="15.75" customHeight="1" thickBot="1" x14ac:dyDescent="0.3">
      <c r="A13" s="45"/>
      <c r="B13" s="10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46"/>
      <c r="AO13" s="45"/>
      <c r="AP13" s="10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46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7"/>
      <c r="CS13" s="95"/>
      <c r="CT13" s="95"/>
      <c r="CU13" s="95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P13" s="45"/>
      <c r="DQ13" s="10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46"/>
    </row>
    <row r="14" spans="1:154" ht="26.25" customHeight="1" thickBot="1" x14ac:dyDescent="0.3">
      <c r="A14" s="47"/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48"/>
      <c r="AO14" s="47"/>
      <c r="AP14" s="12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48"/>
      <c r="CC14" s="1"/>
      <c r="CD14" s="1"/>
      <c r="CE14" s="1"/>
      <c r="CF14" s="18" t="s">
        <v>9</v>
      </c>
      <c r="CG14" s="19"/>
      <c r="CH14" s="19"/>
      <c r="CI14" s="19"/>
      <c r="CJ14" s="19"/>
      <c r="CK14" s="19"/>
      <c r="CL14" s="20"/>
      <c r="CM14" s="24" t="s">
        <v>37</v>
      </c>
      <c r="CN14" s="19"/>
      <c r="CO14" s="19"/>
      <c r="CP14" s="19"/>
      <c r="CQ14" s="19"/>
      <c r="CR14" s="31" t="s">
        <v>17</v>
      </c>
      <c r="CS14" s="22"/>
      <c r="CT14" s="22"/>
      <c r="CU14" s="22"/>
      <c r="CV14" s="3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P14" s="47"/>
      <c r="DQ14" s="12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48"/>
    </row>
    <row r="15" spans="1:154" ht="15.75" customHeight="1" thickBot="1" x14ac:dyDescent="0.3">
      <c r="A15" s="49"/>
      <c r="B15" s="50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2"/>
      <c r="AO15" s="45"/>
      <c r="AP15" s="10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46"/>
      <c r="CB15" s="15" t="s">
        <v>38</v>
      </c>
      <c r="CC15" s="15">
        <f>COUNTA(CC17:CC30)</f>
        <v>0</v>
      </c>
      <c r="CD15" s="14"/>
      <c r="CE15" s="14"/>
      <c r="CF15" s="81"/>
      <c r="CG15" s="82"/>
      <c r="CH15" s="82"/>
      <c r="CI15" s="82"/>
      <c r="CJ15" s="82"/>
      <c r="CK15" s="82"/>
      <c r="CL15" s="83"/>
      <c r="CM15" s="81"/>
      <c r="CN15" s="82"/>
      <c r="CO15" s="82"/>
      <c r="CP15" s="82"/>
      <c r="CQ15" s="82"/>
      <c r="CR15" s="84" t="s">
        <v>6</v>
      </c>
      <c r="CS15" s="19"/>
      <c r="CT15" s="19"/>
      <c r="CU15" s="19"/>
      <c r="CV15" s="3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P15" s="49"/>
      <c r="DQ15" s="50"/>
      <c r="DR15" s="51"/>
      <c r="DS15" s="51"/>
      <c r="DT15" s="51"/>
      <c r="DU15" s="51"/>
      <c r="DV15" s="51"/>
      <c r="DW15" s="51"/>
      <c r="DX15" s="51"/>
      <c r="DY15" s="51"/>
      <c r="DZ15" s="51"/>
      <c r="EA15" s="51"/>
      <c r="EB15" s="51"/>
      <c r="EC15" s="51"/>
      <c r="ED15" s="51"/>
      <c r="EE15" s="51"/>
      <c r="EF15" s="51"/>
      <c r="EG15" s="51"/>
      <c r="EH15" s="51"/>
      <c r="EI15" s="51"/>
      <c r="EJ15" s="51"/>
      <c r="EK15" s="51"/>
      <c r="EL15" s="51"/>
      <c r="EM15" s="51"/>
      <c r="EN15" s="51"/>
      <c r="EO15" s="51"/>
      <c r="EP15" s="51"/>
      <c r="EQ15" s="51"/>
      <c r="ER15" s="51"/>
      <c r="ES15" s="51"/>
      <c r="ET15" s="51"/>
      <c r="EU15" s="51"/>
      <c r="EV15" s="51"/>
      <c r="EW15" s="51"/>
      <c r="EX15" s="52"/>
    </row>
    <row r="16" spans="1:154" ht="15.75" customHeight="1" thickBot="1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O16" s="47"/>
      <c r="AP16" s="12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48"/>
      <c r="CB16" s="37" t="s">
        <v>39</v>
      </c>
      <c r="CC16" s="38" t="s">
        <v>40</v>
      </c>
      <c r="CD16" s="39">
        <f t="shared" ref="CD16:DJ16" si="3">C4+2</f>
        <v>46281</v>
      </c>
      <c r="CE16" s="39">
        <f t="shared" si="3"/>
        <v>46288</v>
      </c>
      <c r="CF16" s="39">
        <f t="shared" si="3"/>
        <v>46295</v>
      </c>
      <c r="CG16" s="39">
        <f t="shared" si="3"/>
        <v>46302</v>
      </c>
      <c r="CH16" s="40">
        <f t="shared" si="3"/>
        <v>46309</v>
      </c>
      <c r="CI16" s="41">
        <f t="shared" si="3"/>
        <v>46330</v>
      </c>
      <c r="CJ16" s="80">
        <f t="shared" si="3"/>
        <v>46337</v>
      </c>
      <c r="CK16" s="39">
        <f t="shared" si="3"/>
        <v>46344</v>
      </c>
      <c r="CL16" s="39">
        <f t="shared" si="3"/>
        <v>46351</v>
      </c>
      <c r="CM16" s="39">
        <f t="shared" si="3"/>
        <v>46358</v>
      </c>
      <c r="CN16" s="39">
        <f t="shared" si="3"/>
        <v>46365</v>
      </c>
      <c r="CO16" s="40">
        <f t="shared" si="3"/>
        <v>46372</v>
      </c>
      <c r="CP16" s="41">
        <f t="shared" si="3"/>
        <v>46393</v>
      </c>
      <c r="CQ16" s="41">
        <f t="shared" si="3"/>
        <v>46400</v>
      </c>
      <c r="CR16" s="39">
        <f t="shared" si="3"/>
        <v>46407</v>
      </c>
      <c r="CS16" s="39">
        <f t="shared" si="3"/>
        <v>46414</v>
      </c>
      <c r="CT16" s="39">
        <f t="shared" si="3"/>
        <v>46421</v>
      </c>
      <c r="CU16" s="40">
        <f t="shared" si="3"/>
        <v>46428</v>
      </c>
      <c r="CV16" s="41">
        <f t="shared" si="3"/>
        <v>46449</v>
      </c>
      <c r="CW16" s="41">
        <f t="shared" si="3"/>
        <v>46456</v>
      </c>
      <c r="CX16" s="39">
        <f t="shared" si="3"/>
        <v>46463</v>
      </c>
      <c r="CY16" s="42">
        <f t="shared" si="3"/>
        <v>46470</v>
      </c>
      <c r="CZ16" s="42">
        <f t="shared" si="3"/>
        <v>46477</v>
      </c>
      <c r="DA16" s="40">
        <f t="shared" si="3"/>
        <v>46484</v>
      </c>
      <c r="DB16" s="41">
        <f t="shared" si="3"/>
        <v>46505</v>
      </c>
      <c r="DC16" s="41">
        <f t="shared" si="3"/>
        <v>46512</v>
      </c>
      <c r="DD16" s="39">
        <f t="shared" si="3"/>
        <v>46519</v>
      </c>
      <c r="DE16" s="39">
        <f t="shared" si="3"/>
        <v>46526</v>
      </c>
      <c r="DF16" s="39">
        <f t="shared" si="3"/>
        <v>46533</v>
      </c>
      <c r="DG16" s="39">
        <f t="shared" si="3"/>
        <v>46540</v>
      </c>
      <c r="DH16" s="39">
        <f t="shared" si="3"/>
        <v>46547</v>
      </c>
      <c r="DI16" s="39">
        <f t="shared" si="3"/>
        <v>46554</v>
      </c>
      <c r="DJ16" s="44">
        <f t="shared" si="3"/>
        <v>46561</v>
      </c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</row>
    <row r="17" spans="1:154" ht="34.5" customHeight="1" thickTop="1" thickBot="1" x14ac:dyDescent="0.3">
      <c r="A17" s="1"/>
      <c r="B17" s="1"/>
      <c r="C17" s="1"/>
      <c r="D17" s="1"/>
      <c r="E17" s="18" t="s">
        <v>9</v>
      </c>
      <c r="F17" s="19"/>
      <c r="G17" s="19"/>
      <c r="H17" s="19"/>
      <c r="I17" s="19"/>
      <c r="J17" s="19"/>
      <c r="K17" s="20"/>
      <c r="L17" s="18" t="s">
        <v>41</v>
      </c>
      <c r="M17" s="19"/>
      <c r="N17" s="19"/>
      <c r="O17" s="19"/>
      <c r="P17" s="19"/>
      <c r="Q17" s="20"/>
      <c r="R17" s="18" t="s">
        <v>5</v>
      </c>
      <c r="S17" s="25"/>
      <c r="T17" s="26"/>
      <c r="U17" s="1"/>
      <c r="V17" s="1"/>
      <c r="W17" s="1"/>
      <c r="X17" s="1"/>
      <c r="Y17" s="1"/>
      <c r="Z17" s="1"/>
      <c r="AA17" s="1"/>
      <c r="AB17" s="1"/>
      <c r="AC17" s="1"/>
      <c r="AD17" s="1"/>
      <c r="AO17" s="45"/>
      <c r="AP17" s="10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46"/>
      <c r="CB17" s="45"/>
      <c r="CC17" s="10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46"/>
      <c r="DP17" s="1"/>
      <c r="DQ17" s="1"/>
      <c r="DR17" s="1"/>
      <c r="DS17" s="1"/>
      <c r="DT17" s="18" t="s">
        <v>33</v>
      </c>
      <c r="DU17" s="19"/>
      <c r="DV17" s="19"/>
      <c r="DW17" s="19"/>
      <c r="DX17" s="19"/>
      <c r="DY17" s="19"/>
      <c r="DZ17" s="20"/>
      <c r="EA17" s="18" t="s">
        <v>42</v>
      </c>
      <c r="EB17" s="19"/>
      <c r="EC17" s="19"/>
      <c r="ED17" s="19"/>
      <c r="EE17" s="19"/>
      <c r="EF17" s="20"/>
      <c r="EG17" s="18" t="s">
        <v>32</v>
      </c>
      <c r="EH17" s="25"/>
      <c r="EI17" s="26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</row>
    <row r="18" spans="1:154" ht="28.5" customHeight="1" thickBot="1" x14ac:dyDescent="0.3">
      <c r="A18" s="1"/>
      <c r="B18" s="1"/>
      <c r="C18" s="1"/>
      <c r="D18" s="1"/>
      <c r="E18" s="21"/>
      <c r="F18" s="22"/>
      <c r="G18" s="22"/>
      <c r="H18" s="22"/>
      <c r="I18" s="22"/>
      <c r="J18" s="22"/>
      <c r="K18" s="23"/>
      <c r="L18" s="21"/>
      <c r="M18" s="22"/>
      <c r="N18" s="22"/>
      <c r="O18" s="22"/>
      <c r="P18" s="22"/>
      <c r="Q18" s="23"/>
      <c r="R18" s="27" t="s">
        <v>8</v>
      </c>
      <c r="S18" s="25"/>
      <c r="T18" s="26"/>
      <c r="U18" s="1"/>
      <c r="V18" s="1"/>
      <c r="W18" s="1"/>
      <c r="X18" s="1"/>
      <c r="Y18" s="1"/>
      <c r="Z18" s="1"/>
      <c r="AA18" s="1"/>
      <c r="AB18" s="1"/>
      <c r="AC18" s="1"/>
      <c r="AD18" s="1"/>
      <c r="AO18" s="47"/>
      <c r="AP18" s="12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48"/>
      <c r="CB18" s="47"/>
      <c r="CC18" s="12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48"/>
      <c r="DP18" s="1"/>
      <c r="DQ18" s="1"/>
      <c r="DR18" s="1"/>
      <c r="DS18" s="1"/>
      <c r="DT18" s="21"/>
      <c r="DU18" s="22"/>
      <c r="DV18" s="22"/>
      <c r="DW18" s="22"/>
      <c r="DX18" s="22"/>
      <c r="DY18" s="22"/>
      <c r="DZ18" s="23"/>
      <c r="EA18" s="21"/>
      <c r="EB18" s="22"/>
      <c r="EC18" s="22"/>
      <c r="ED18" s="22"/>
      <c r="EE18" s="22"/>
      <c r="EF18" s="23"/>
      <c r="EG18" s="96" t="s">
        <v>8</v>
      </c>
      <c r="EH18" s="25"/>
      <c r="EI18" s="97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</row>
    <row r="19" spans="1:154" ht="15.75" customHeight="1" thickBot="1" x14ac:dyDescent="0.3">
      <c r="A19" s="15" t="s">
        <v>38</v>
      </c>
      <c r="B19" s="15">
        <f>COUNTA(B21:B37)</f>
        <v>0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O19" s="45"/>
      <c r="AP19" s="10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46"/>
      <c r="CB19" s="45"/>
      <c r="CC19" s="10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46"/>
      <c r="DP19" s="4" t="s">
        <v>38</v>
      </c>
      <c r="DQ19" s="4">
        <f>COUNTA(DQ21:DQ37)</f>
        <v>0</v>
      </c>
    </row>
    <row r="20" spans="1:154" ht="15.75" customHeight="1" thickBot="1" x14ac:dyDescent="0.3">
      <c r="A20" s="37" t="s">
        <v>39</v>
      </c>
      <c r="B20" s="38" t="s">
        <v>40</v>
      </c>
      <c r="C20" s="39">
        <v>46279</v>
      </c>
      <c r="D20" s="39">
        <v>46286</v>
      </c>
      <c r="E20" s="39">
        <v>46293</v>
      </c>
      <c r="F20" s="39">
        <v>46300</v>
      </c>
      <c r="G20" s="39">
        <v>46307</v>
      </c>
      <c r="H20" s="40">
        <v>46328</v>
      </c>
      <c r="I20" s="41">
        <v>46335</v>
      </c>
      <c r="J20" s="39">
        <v>46342</v>
      </c>
      <c r="K20" s="39">
        <v>46349</v>
      </c>
      <c r="L20" s="39">
        <v>46356</v>
      </c>
      <c r="M20" s="39">
        <v>46363</v>
      </c>
      <c r="N20" s="39">
        <v>46370</v>
      </c>
      <c r="O20" s="40">
        <v>46391</v>
      </c>
      <c r="P20" s="41">
        <v>46398</v>
      </c>
      <c r="Q20" s="39">
        <v>46405</v>
      </c>
      <c r="R20" s="39">
        <v>46412</v>
      </c>
      <c r="S20" s="39">
        <v>46419</v>
      </c>
      <c r="T20" s="39">
        <v>46426</v>
      </c>
      <c r="U20" s="40">
        <v>46447</v>
      </c>
      <c r="V20" s="41">
        <v>46454</v>
      </c>
      <c r="W20" s="39">
        <v>46461</v>
      </c>
      <c r="X20" s="42">
        <v>46468</v>
      </c>
      <c r="Y20" s="42">
        <v>46475</v>
      </c>
      <c r="Z20" s="39">
        <v>46482</v>
      </c>
      <c r="AA20" s="40">
        <v>46503</v>
      </c>
      <c r="AB20" s="41">
        <v>46510</v>
      </c>
      <c r="AC20" s="39">
        <v>46517</v>
      </c>
      <c r="AD20" s="42">
        <v>46524</v>
      </c>
      <c r="AE20" s="39">
        <v>46531</v>
      </c>
      <c r="AF20" s="39">
        <v>46538</v>
      </c>
      <c r="AG20" s="39">
        <v>46545</v>
      </c>
      <c r="AH20" s="39">
        <v>46552</v>
      </c>
      <c r="AI20" s="44">
        <v>46559</v>
      </c>
      <c r="AO20" s="47"/>
      <c r="AP20" s="12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48"/>
      <c r="CB20" s="47"/>
      <c r="CC20" s="12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48"/>
      <c r="DP20" s="37" t="s">
        <v>39</v>
      </c>
      <c r="DQ20" s="38" t="s">
        <v>40</v>
      </c>
      <c r="DR20" s="39">
        <f t="shared" ref="DR20:EX20" si="4">C4+5</f>
        <v>46284</v>
      </c>
      <c r="DS20" s="39">
        <f t="shared" si="4"/>
        <v>46291</v>
      </c>
      <c r="DT20" s="39">
        <f t="shared" si="4"/>
        <v>46298</v>
      </c>
      <c r="DU20" s="39">
        <f t="shared" si="4"/>
        <v>46305</v>
      </c>
      <c r="DV20" s="40">
        <f t="shared" si="4"/>
        <v>46312</v>
      </c>
      <c r="DW20" s="41">
        <f t="shared" si="4"/>
        <v>46333</v>
      </c>
      <c r="DX20" s="86">
        <f t="shared" si="4"/>
        <v>46340</v>
      </c>
      <c r="DY20" s="39">
        <f t="shared" si="4"/>
        <v>46347</v>
      </c>
      <c r="DZ20" s="39">
        <f t="shared" si="4"/>
        <v>46354</v>
      </c>
      <c r="EA20" s="39">
        <f t="shared" si="4"/>
        <v>46361</v>
      </c>
      <c r="EB20" s="39">
        <f t="shared" si="4"/>
        <v>46368</v>
      </c>
      <c r="EC20" s="40">
        <f t="shared" si="4"/>
        <v>46375</v>
      </c>
      <c r="ED20" s="41">
        <f t="shared" si="4"/>
        <v>46396</v>
      </c>
      <c r="EE20" s="41">
        <f t="shared" si="4"/>
        <v>46403</v>
      </c>
      <c r="EF20" s="39">
        <f t="shared" si="4"/>
        <v>46410</v>
      </c>
      <c r="EG20" s="39">
        <f t="shared" si="4"/>
        <v>46417</v>
      </c>
      <c r="EH20" s="39">
        <f t="shared" si="4"/>
        <v>46424</v>
      </c>
      <c r="EI20" s="40">
        <f t="shared" si="4"/>
        <v>46431</v>
      </c>
      <c r="EJ20" s="41">
        <f t="shared" si="4"/>
        <v>46452</v>
      </c>
      <c r="EK20" s="41">
        <f t="shared" si="4"/>
        <v>46459</v>
      </c>
      <c r="EL20" s="39">
        <f t="shared" si="4"/>
        <v>46466</v>
      </c>
      <c r="EM20" s="42">
        <f t="shared" si="4"/>
        <v>46473</v>
      </c>
      <c r="EN20" s="42">
        <f t="shared" si="4"/>
        <v>46480</v>
      </c>
      <c r="EO20" s="40">
        <f t="shared" si="4"/>
        <v>46487</v>
      </c>
      <c r="EP20" s="41">
        <f t="shared" si="4"/>
        <v>46508</v>
      </c>
      <c r="EQ20" s="41">
        <f t="shared" si="4"/>
        <v>46515</v>
      </c>
      <c r="ER20" s="39">
        <f t="shared" si="4"/>
        <v>46522</v>
      </c>
      <c r="ES20" s="39">
        <f t="shared" si="4"/>
        <v>46529</v>
      </c>
      <c r="ET20" s="39">
        <f t="shared" si="4"/>
        <v>46536</v>
      </c>
      <c r="EU20" s="39">
        <f t="shared" si="4"/>
        <v>46543</v>
      </c>
      <c r="EV20" s="39">
        <f t="shared" si="4"/>
        <v>46550</v>
      </c>
      <c r="EW20" s="39">
        <f t="shared" si="4"/>
        <v>46557</v>
      </c>
      <c r="EX20" s="44">
        <f t="shared" si="4"/>
        <v>46564</v>
      </c>
    </row>
    <row r="21" spans="1:154" ht="27" customHeight="1" thickTop="1" thickBot="1" x14ac:dyDescent="0.3">
      <c r="A21" s="45"/>
      <c r="B21" s="10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46"/>
      <c r="AO21" s="49"/>
      <c r="AP21" s="50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2"/>
      <c r="CB21" s="45"/>
      <c r="CC21" s="10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46"/>
      <c r="DP21" s="45"/>
      <c r="DQ21" s="10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46"/>
    </row>
    <row r="22" spans="1:154" ht="15.75" customHeight="1" x14ac:dyDescent="0.25">
      <c r="A22" s="47"/>
      <c r="B22" s="12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48"/>
      <c r="AO22" s="78"/>
      <c r="AP22" s="78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79"/>
      <c r="BM22" s="79"/>
      <c r="BN22" s="79"/>
      <c r="BO22" s="79"/>
      <c r="BP22" s="79"/>
      <c r="BQ22" s="79"/>
      <c r="BR22" s="79"/>
      <c r="BS22" s="79"/>
      <c r="BT22" s="79"/>
      <c r="BU22" s="79"/>
      <c r="BV22" s="79"/>
      <c r="BW22" s="79"/>
      <c r="CB22" s="47"/>
      <c r="CC22" s="12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48"/>
      <c r="DP22" s="47"/>
      <c r="DQ22" s="12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48"/>
    </row>
    <row r="23" spans="1:154" ht="15.75" customHeight="1" x14ac:dyDescent="0.25">
      <c r="A23" s="45"/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46"/>
      <c r="AO23" s="10"/>
      <c r="AP23" s="10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CB23" s="45"/>
      <c r="CC23" s="10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46"/>
      <c r="DP23" s="45"/>
      <c r="DQ23" s="10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46"/>
    </row>
    <row r="24" spans="1:154" ht="15.75" customHeight="1" x14ac:dyDescent="0.25">
      <c r="A24" s="47"/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48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CB24" s="47"/>
      <c r="CC24" s="12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48"/>
      <c r="DP24" s="47"/>
      <c r="DQ24" s="12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48"/>
    </row>
    <row r="25" spans="1:154" ht="15.75" customHeight="1" thickBot="1" x14ac:dyDescent="0.3">
      <c r="A25" s="45"/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46"/>
      <c r="CB25" s="45"/>
      <c r="CC25" s="10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46"/>
      <c r="DP25" s="45"/>
      <c r="DQ25" s="10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46"/>
    </row>
    <row r="26" spans="1:154" ht="26.25" customHeight="1" thickBot="1" x14ac:dyDescent="0.3">
      <c r="A26" s="47"/>
      <c r="B26" s="12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48"/>
      <c r="AO26" s="1"/>
      <c r="AP26" s="1"/>
      <c r="AQ26" s="1"/>
      <c r="AR26" s="1"/>
      <c r="AS26" s="18" t="s">
        <v>16</v>
      </c>
      <c r="AT26" s="19"/>
      <c r="AU26" s="19"/>
      <c r="AV26" s="19"/>
      <c r="AW26" s="19"/>
      <c r="AX26" s="19"/>
      <c r="AY26" s="20"/>
      <c r="AZ26" s="28" t="s">
        <v>43</v>
      </c>
      <c r="BA26" s="19"/>
      <c r="BB26" s="19"/>
      <c r="BC26" s="19"/>
      <c r="BD26" s="19"/>
      <c r="BE26" s="20"/>
      <c r="BF26" s="18" t="s">
        <v>12</v>
      </c>
      <c r="BG26" s="25"/>
      <c r="BH26" s="26"/>
      <c r="BI26" s="1"/>
      <c r="BJ26" s="1"/>
      <c r="BK26" s="1"/>
      <c r="BL26" s="1"/>
      <c r="BM26" s="1"/>
      <c r="BN26" s="1"/>
      <c r="BO26" s="1"/>
      <c r="BP26" s="1"/>
      <c r="BQ26" s="1"/>
      <c r="BR26" s="1"/>
      <c r="CB26" s="47"/>
      <c r="CC26" s="12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48"/>
      <c r="DP26" s="47"/>
      <c r="DQ26" s="12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48"/>
    </row>
    <row r="27" spans="1:154" ht="15.75" customHeight="1" thickBot="1" x14ac:dyDescent="0.3">
      <c r="A27" s="45"/>
      <c r="B27" s="10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46"/>
      <c r="AO27" s="1"/>
      <c r="AP27" s="1"/>
      <c r="AQ27" s="1"/>
      <c r="AR27" s="1"/>
      <c r="AS27" s="21"/>
      <c r="AT27" s="22"/>
      <c r="AU27" s="22"/>
      <c r="AV27" s="22"/>
      <c r="AW27" s="22"/>
      <c r="AX27" s="22"/>
      <c r="AY27" s="23"/>
      <c r="AZ27" s="21"/>
      <c r="BA27" s="22"/>
      <c r="BB27" s="22"/>
      <c r="BC27" s="22"/>
      <c r="BD27" s="22"/>
      <c r="BE27" s="23"/>
      <c r="BF27" s="27" t="s">
        <v>15</v>
      </c>
      <c r="BG27" s="25"/>
      <c r="BH27" s="26"/>
      <c r="BI27" s="1"/>
      <c r="BJ27" s="1"/>
      <c r="BK27" s="1"/>
      <c r="BL27" s="1"/>
      <c r="BM27" s="1"/>
      <c r="BN27" s="1"/>
      <c r="BO27" s="1"/>
      <c r="BP27" s="1"/>
      <c r="BQ27" s="1"/>
      <c r="BR27" s="1"/>
      <c r="CB27" s="45"/>
      <c r="CC27" s="10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46"/>
      <c r="DP27" s="45"/>
      <c r="DQ27" s="10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46"/>
    </row>
    <row r="28" spans="1:154" ht="15.75" customHeight="1" thickBot="1" x14ac:dyDescent="0.3">
      <c r="A28" s="47"/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48"/>
      <c r="AO28" s="4" t="s">
        <v>38</v>
      </c>
      <c r="AP28" s="4">
        <f>COUNTA(AP30:AP44)</f>
        <v>0</v>
      </c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CB28" s="47"/>
      <c r="CC28" s="12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48"/>
      <c r="DP28" s="47"/>
      <c r="DQ28" s="12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48"/>
    </row>
    <row r="29" spans="1:154" ht="15.75" customHeight="1" thickBot="1" x14ac:dyDescent="0.3">
      <c r="A29" s="45"/>
      <c r="B29" s="10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46"/>
      <c r="AO29" s="37" t="s">
        <v>39</v>
      </c>
      <c r="AP29" s="38" t="s">
        <v>40</v>
      </c>
      <c r="AQ29" s="39">
        <f>C24+1</f>
        <v>1</v>
      </c>
      <c r="AR29" s="39">
        <f t="shared" ref="AR29:BW29" si="5">AQ29+7</f>
        <v>8</v>
      </c>
      <c r="AS29" s="39">
        <f t="shared" si="5"/>
        <v>15</v>
      </c>
      <c r="AT29" s="39">
        <f t="shared" si="5"/>
        <v>22</v>
      </c>
      <c r="AU29" s="39">
        <f t="shared" si="5"/>
        <v>29</v>
      </c>
      <c r="AV29" s="40">
        <f t="shared" si="5"/>
        <v>36</v>
      </c>
      <c r="AW29" s="41">
        <f t="shared" si="5"/>
        <v>43</v>
      </c>
      <c r="AX29" s="39">
        <f t="shared" si="5"/>
        <v>50</v>
      </c>
      <c r="AY29" s="39">
        <f t="shared" si="5"/>
        <v>57</v>
      </c>
      <c r="AZ29" s="39">
        <f t="shared" si="5"/>
        <v>64</v>
      </c>
      <c r="BA29" s="39">
        <f t="shared" si="5"/>
        <v>71</v>
      </c>
      <c r="BB29" s="39">
        <f t="shared" si="5"/>
        <v>78</v>
      </c>
      <c r="BC29" s="40">
        <f t="shared" si="5"/>
        <v>85</v>
      </c>
      <c r="BD29" s="41">
        <f t="shared" si="5"/>
        <v>92</v>
      </c>
      <c r="BE29" s="39">
        <f t="shared" si="5"/>
        <v>99</v>
      </c>
      <c r="BF29" s="39">
        <f t="shared" si="5"/>
        <v>106</v>
      </c>
      <c r="BG29" s="39">
        <f t="shared" si="5"/>
        <v>113</v>
      </c>
      <c r="BH29" s="39">
        <f t="shared" si="5"/>
        <v>120</v>
      </c>
      <c r="BI29" s="40">
        <f t="shared" si="5"/>
        <v>127</v>
      </c>
      <c r="BJ29" s="41">
        <f t="shared" si="5"/>
        <v>134</v>
      </c>
      <c r="BK29" s="39">
        <f t="shared" si="5"/>
        <v>141</v>
      </c>
      <c r="BL29" s="42">
        <f t="shared" si="5"/>
        <v>148</v>
      </c>
      <c r="BM29" s="42">
        <f t="shared" si="5"/>
        <v>155</v>
      </c>
      <c r="BN29" s="39">
        <f t="shared" si="5"/>
        <v>162</v>
      </c>
      <c r="BO29" s="40">
        <f t="shared" si="5"/>
        <v>169</v>
      </c>
      <c r="BP29" s="41">
        <f t="shared" si="5"/>
        <v>176</v>
      </c>
      <c r="BQ29" s="39">
        <f t="shared" si="5"/>
        <v>183</v>
      </c>
      <c r="BR29" s="73">
        <f t="shared" si="5"/>
        <v>190</v>
      </c>
      <c r="BS29" s="39">
        <f t="shared" si="5"/>
        <v>197</v>
      </c>
      <c r="BT29" s="39">
        <f t="shared" si="5"/>
        <v>204</v>
      </c>
      <c r="BU29" s="39">
        <f t="shared" si="5"/>
        <v>211</v>
      </c>
      <c r="BV29" s="39">
        <f t="shared" si="5"/>
        <v>218</v>
      </c>
      <c r="BW29" s="44">
        <f t="shared" si="5"/>
        <v>225</v>
      </c>
      <c r="CB29" s="45"/>
      <c r="CC29" s="10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46"/>
      <c r="DP29" s="45"/>
      <c r="DQ29" s="10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46"/>
    </row>
    <row r="30" spans="1:154" ht="15.75" customHeight="1" thickTop="1" thickBot="1" x14ac:dyDescent="0.3">
      <c r="A30" s="47"/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48"/>
      <c r="AO30" s="47"/>
      <c r="AP30" s="12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48"/>
      <c r="CB30" s="74"/>
      <c r="CC30" s="75"/>
      <c r="CD30" s="76"/>
      <c r="CE30" s="76"/>
      <c r="CF30" s="76"/>
      <c r="CG30" s="76"/>
      <c r="CH30" s="76"/>
      <c r="CI30" s="76"/>
      <c r="CJ30" s="76"/>
      <c r="CK30" s="76"/>
      <c r="CL30" s="76"/>
      <c r="CM30" s="76"/>
      <c r="CN30" s="76"/>
      <c r="CO30" s="76"/>
      <c r="CP30" s="76"/>
      <c r="CQ30" s="76"/>
      <c r="CR30" s="76"/>
      <c r="CS30" s="76"/>
      <c r="CT30" s="76"/>
      <c r="CU30" s="76"/>
      <c r="CV30" s="76"/>
      <c r="CW30" s="76"/>
      <c r="CX30" s="76"/>
      <c r="CY30" s="76"/>
      <c r="CZ30" s="76"/>
      <c r="DA30" s="76"/>
      <c r="DB30" s="76"/>
      <c r="DC30" s="76"/>
      <c r="DD30" s="76"/>
      <c r="DE30" s="76"/>
      <c r="DF30" s="76"/>
      <c r="DG30" s="76"/>
      <c r="DH30" s="76"/>
      <c r="DI30" s="76"/>
      <c r="DJ30" s="77"/>
      <c r="DP30" s="47"/>
      <c r="DQ30" s="12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48"/>
    </row>
    <row r="31" spans="1:154" ht="15.75" customHeight="1" thickBot="1" x14ac:dyDescent="0.3">
      <c r="A31" s="45"/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46"/>
      <c r="AO31" s="45"/>
      <c r="AP31" s="10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46"/>
      <c r="DP31" s="45"/>
      <c r="DQ31" s="10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46"/>
    </row>
    <row r="32" spans="1:154" ht="26.25" customHeight="1" thickBot="1" x14ac:dyDescent="0.3">
      <c r="A32" s="47"/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48"/>
      <c r="AO32" s="47"/>
      <c r="AP32" s="12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48"/>
      <c r="CC32" s="1"/>
      <c r="CD32" s="1"/>
      <c r="CE32" s="1"/>
      <c r="CF32" s="24" t="s">
        <v>31</v>
      </c>
      <c r="CG32" s="19"/>
      <c r="CH32" s="19"/>
      <c r="CI32" s="19"/>
      <c r="CJ32" s="19"/>
      <c r="CK32" s="19"/>
      <c r="CL32" s="19"/>
      <c r="CM32" s="18" t="s">
        <v>37</v>
      </c>
      <c r="CN32" s="19"/>
      <c r="CO32" s="19"/>
      <c r="CP32" s="19"/>
      <c r="CQ32" s="19"/>
      <c r="CR32" s="20"/>
      <c r="CS32" s="18" t="s">
        <v>17</v>
      </c>
      <c r="CT32" s="25"/>
      <c r="CU32" s="26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P32" s="47"/>
      <c r="DQ32" s="12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48"/>
    </row>
    <row r="33" spans="1:154" ht="15.75" customHeight="1" thickBot="1" x14ac:dyDescent="0.3">
      <c r="A33" s="45"/>
      <c r="B33" s="10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46"/>
      <c r="AO33" s="45"/>
      <c r="AP33" s="10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46"/>
      <c r="CC33" s="1"/>
      <c r="CD33" s="1"/>
      <c r="CE33" s="1"/>
      <c r="CF33" s="21"/>
      <c r="CG33" s="22"/>
      <c r="CH33" s="22"/>
      <c r="CI33" s="22"/>
      <c r="CJ33" s="22"/>
      <c r="CK33" s="22"/>
      <c r="CL33" s="22"/>
      <c r="CM33" s="21"/>
      <c r="CN33" s="22"/>
      <c r="CO33" s="22"/>
      <c r="CP33" s="22"/>
      <c r="CQ33" s="22"/>
      <c r="CR33" s="23"/>
      <c r="CS33" s="29" t="s">
        <v>30</v>
      </c>
      <c r="CT33" s="22"/>
      <c r="CU33" s="23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P33" s="45"/>
      <c r="DQ33" s="10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46"/>
    </row>
    <row r="34" spans="1:154" ht="15.75" customHeight="1" thickBot="1" x14ac:dyDescent="0.3">
      <c r="A34" s="47"/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48"/>
      <c r="AO34" s="47"/>
      <c r="AP34" s="12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48"/>
      <c r="CB34" s="4" t="s">
        <v>38</v>
      </c>
      <c r="CC34" s="4">
        <f>COUNTA(CC36:CC48)</f>
        <v>0</v>
      </c>
      <c r="CM34" s="1"/>
      <c r="CN34" s="1"/>
      <c r="CO34" s="1"/>
      <c r="CP34" s="1"/>
      <c r="CQ34" s="1"/>
      <c r="CR34" s="1"/>
      <c r="DP34" s="47"/>
      <c r="DQ34" s="12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48"/>
    </row>
    <row r="35" spans="1:154" ht="15.75" customHeight="1" thickBot="1" x14ac:dyDescent="0.3">
      <c r="A35" s="45"/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46"/>
      <c r="AO35" s="45"/>
      <c r="AP35" s="10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46"/>
      <c r="CB35" s="37" t="s">
        <v>39</v>
      </c>
      <c r="CC35" s="38" t="s">
        <v>40</v>
      </c>
      <c r="CD35" s="39">
        <v>46281</v>
      </c>
      <c r="CE35" s="39">
        <v>46288</v>
      </c>
      <c r="CF35" s="39">
        <v>46295</v>
      </c>
      <c r="CG35" s="39">
        <v>46302</v>
      </c>
      <c r="CH35" s="40">
        <v>46309</v>
      </c>
      <c r="CI35" s="41">
        <v>46330</v>
      </c>
      <c r="CJ35" s="80">
        <v>46337</v>
      </c>
      <c r="CK35" s="39">
        <v>46344</v>
      </c>
      <c r="CL35" s="39">
        <v>46351</v>
      </c>
      <c r="CM35" s="39">
        <v>46358</v>
      </c>
      <c r="CN35" s="39">
        <v>46365</v>
      </c>
      <c r="CO35" s="40">
        <v>46372</v>
      </c>
      <c r="CP35" s="41">
        <v>46393</v>
      </c>
      <c r="CQ35" s="41">
        <v>46400</v>
      </c>
      <c r="CR35" s="39">
        <v>46407</v>
      </c>
      <c r="CS35" s="39">
        <v>46414</v>
      </c>
      <c r="CT35" s="39">
        <v>46421</v>
      </c>
      <c r="CU35" s="40">
        <v>46428</v>
      </c>
      <c r="CV35" s="41">
        <v>46449</v>
      </c>
      <c r="CW35" s="41">
        <v>46456</v>
      </c>
      <c r="CX35" s="39">
        <v>46463</v>
      </c>
      <c r="CY35" s="42">
        <v>46470</v>
      </c>
      <c r="CZ35" s="42">
        <v>46477</v>
      </c>
      <c r="DA35" s="40">
        <v>46484</v>
      </c>
      <c r="DB35" s="41">
        <v>46505</v>
      </c>
      <c r="DC35" s="41">
        <v>46512</v>
      </c>
      <c r="DD35" s="39">
        <v>46519</v>
      </c>
      <c r="DE35" s="39">
        <v>46526</v>
      </c>
      <c r="DF35" s="39">
        <v>46533</v>
      </c>
      <c r="DG35" s="39">
        <v>46540</v>
      </c>
      <c r="DH35" s="39">
        <v>46547</v>
      </c>
      <c r="DI35" s="39">
        <v>46554</v>
      </c>
      <c r="DJ35" s="44">
        <v>46561</v>
      </c>
      <c r="DP35" s="45"/>
      <c r="DQ35" s="10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46"/>
    </row>
    <row r="36" spans="1:154" ht="15.75" customHeight="1" thickTop="1" x14ac:dyDescent="0.25">
      <c r="A36" s="47"/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48"/>
      <c r="AO36" s="47"/>
      <c r="AP36" s="12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48"/>
      <c r="CB36" s="47"/>
      <c r="CC36" s="12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48"/>
      <c r="DP36" s="47"/>
      <c r="DQ36" s="12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48"/>
    </row>
    <row r="37" spans="1:154" ht="15.75" thickBot="1" x14ac:dyDescent="0.3">
      <c r="A37" s="49"/>
      <c r="B37" s="50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2"/>
      <c r="AO37" s="45"/>
      <c r="AP37" s="10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46"/>
      <c r="CB37" s="45"/>
      <c r="CC37" s="10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46"/>
      <c r="DP37" s="49"/>
      <c r="DQ37" s="50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ED37" s="51"/>
      <c r="EE37" s="51"/>
      <c r="EF37" s="51"/>
      <c r="EG37" s="51"/>
      <c r="EH37" s="51"/>
      <c r="EI37" s="51"/>
      <c r="EJ37" s="51"/>
      <c r="EK37" s="51"/>
      <c r="EL37" s="51"/>
      <c r="EM37" s="51"/>
      <c r="EN37" s="51"/>
      <c r="EO37" s="51"/>
      <c r="EP37" s="51"/>
      <c r="EQ37" s="51"/>
      <c r="ER37" s="51"/>
      <c r="ES37" s="51"/>
      <c r="ET37" s="51"/>
      <c r="EU37" s="51"/>
      <c r="EV37" s="51"/>
      <c r="EW37" s="51"/>
      <c r="EX37" s="52"/>
    </row>
    <row r="38" spans="1:154" ht="15.75" customHeight="1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O38" s="47"/>
      <c r="AP38" s="12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48"/>
      <c r="CB38" s="47"/>
      <c r="CC38" s="12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48"/>
      <c r="DP38" s="15"/>
      <c r="DQ38" s="15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</row>
    <row r="39" spans="1:154" x14ac:dyDescent="0.2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O39" s="45"/>
      <c r="AP39" s="10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46"/>
      <c r="CB39" s="45"/>
      <c r="CC39" s="10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46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</row>
    <row r="40" spans="1:154" x14ac:dyDescent="0.2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O40" s="47"/>
      <c r="AP40" s="12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48"/>
      <c r="CB40" s="47"/>
      <c r="CC40" s="12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48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</row>
    <row r="41" spans="1:154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O41" s="45"/>
      <c r="AP41" s="10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46"/>
      <c r="CB41" s="45"/>
      <c r="CC41" s="10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46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</row>
    <row r="42" spans="1:154" x14ac:dyDescent="0.2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O42" s="47"/>
      <c r="AP42" s="12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48"/>
      <c r="CB42" s="47"/>
      <c r="CC42" s="12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48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</row>
    <row r="43" spans="1:154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O43" s="45"/>
      <c r="AP43" s="10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46"/>
      <c r="CB43" s="45"/>
      <c r="CC43" s="10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46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</row>
    <row r="44" spans="1:154" ht="15.75" thickBot="1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O44" s="74"/>
      <c r="AP44" s="75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  <c r="BM44" s="76"/>
      <c r="BN44" s="76"/>
      <c r="BO44" s="76"/>
      <c r="BP44" s="76"/>
      <c r="BQ44" s="76"/>
      <c r="BR44" s="76"/>
      <c r="BS44" s="76"/>
      <c r="BT44" s="76"/>
      <c r="BU44" s="76"/>
      <c r="BV44" s="76"/>
      <c r="BW44" s="77"/>
      <c r="CB44" s="47"/>
      <c r="CC44" s="12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48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</row>
    <row r="45" spans="1:154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O45" s="15"/>
      <c r="AP45" s="15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CB45" s="45"/>
      <c r="CC45" s="10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46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</row>
    <row r="46" spans="1:154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CB46" s="47"/>
      <c r="CC46" s="12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48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</row>
    <row r="47" spans="1:154" ht="15.75" customHeight="1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CB47" s="45"/>
      <c r="CC47" s="10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46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</row>
    <row r="48" spans="1:154" ht="15.75" customHeight="1" thickBot="1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CB48" s="74"/>
      <c r="CC48" s="75"/>
      <c r="CD48" s="76"/>
      <c r="CE48" s="76"/>
      <c r="CF48" s="76"/>
      <c r="CG48" s="76"/>
      <c r="CH48" s="76"/>
      <c r="CI48" s="76"/>
      <c r="CJ48" s="76"/>
      <c r="CK48" s="76"/>
      <c r="CL48" s="76"/>
      <c r="CM48" s="76"/>
      <c r="CN48" s="76"/>
      <c r="CO48" s="76"/>
      <c r="CP48" s="76"/>
      <c r="CQ48" s="76"/>
      <c r="CR48" s="76"/>
      <c r="CS48" s="76"/>
      <c r="CT48" s="76"/>
      <c r="CU48" s="76"/>
      <c r="CV48" s="76"/>
      <c r="CW48" s="76"/>
      <c r="CX48" s="76"/>
      <c r="CY48" s="76"/>
      <c r="CZ48" s="76"/>
      <c r="DA48" s="76"/>
      <c r="DB48" s="76"/>
      <c r="DC48" s="76"/>
      <c r="DD48" s="76"/>
      <c r="DE48" s="76"/>
      <c r="DF48" s="76"/>
      <c r="DG48" s="76"/>
      <c r="DH48" s="76"/>
      <c r="DI48" s="76"/>
      <c r="DJ48" s="77"/>
    </row>
    <row r="49" spans="1:154" ht="26.25" customHeight="1" thickBot="1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DQ49" s="1"/>
      <c r="DR49" s="1"/>
      <c r="DS49" s="1"/>
      <c r="DT49" s="24" t="s">
        <v>34</v>
      </c>
      <c r="DU49" s="19"/>
      <c r="DV49" s="19"/>
      <c r="DW49" s="19"/>
      <c r="DX49" s="19"/>
      <c r="DY49" s="19"/>
      <c r="DZ49" s="19"/>
      <c r="EA49" s="18" t="s">
        <v>37</v>
      </c>
      <c r="EB49" s="19"/>
      <c r="EC49" s="19"/>
      <c r="ED49" s="19"/>
      <c r="EE49" s="19"/>
      <c r="EF49" s="20"/>
      <c r="EG49" s="18" t="s">
        <v>32</v>
      </c>
      <c r="EH49" s="25"/>
      <c r="EI49" s="26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</row>
    <row r="50" spans="1:154" ht="26.25" customHeight="1" thickBot="1" x14ac:dyDescent="0.3"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CC50" s="1"/>
      <c r="CD50" s="1"/>
      <c r="CE50" s="1"/>
      <c r="CF50" s="24" t="s">
        <v>19</v>
      </c>
      <c r="CG50" s="19"/>
      <c r="CH50" s="19"/>
      <c r="CI50" s="19"/>
      <c r="CJ50" s="19"/>
      <c r="CK50" s="19"/>
      <c r="CL50" s="19"/>
      <c r="CM50" s="18" t="s">
        <v>45</v>
      </c>
      <c r="CN50" s="19"/>
      <c r="CO50" s="19"/>
      <c r="CP50" s="19"/>
      <c r="CQ50" s="19"/>
      <c r="CR50" s="20"/>
      <c r="CS50" s="18" t="s">
        <v>17</v>
      </c>
      <c r="CT50" s="25"/>
      <c r="CU50" s="26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Q50" s="1"/>
      <c r="DR50" s="1"/>
      <c r="DS50" s="1"/>
      <c r="DT50" s="21"/>
      <c r="DU50" s="22"/>
      <c r="DV50" s="22"/>
      <c r="DW50" s="22"/>
      <c r="DX50" s="22"/>
      <c r="DY50" s="22"/>
      <c r="DZ50" s="22"/>
      <c r="EA50" s="21"/>
      <c r="EB50" s="22"/>
      <c r="EC50" s="22"/>
      <c r="ED50" s="22"/>
      <c r="EE50" s="22"/>
      <c r="EF50" s="23"/>
      <c r="EG50" s="29" t="s">
        <v>30</v>
      </c>
      <c r="EH50" s="22"/>
      <c r="EI50" s="23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</row>
    <row r="51" spans="1:154" ht="26.25" customHeight="1" thickBot="1" x14ac:dyDescent="0.3">
      <c r="A51" s="1"/>
      <c r="B51" s="1"/>
      <c r="C51" s="1"/>
      <c r="D51" s="1"/>
      <c r="E51" s="18" t="s">
        <v>11</v>
      </c>
      <c r="F51" s="19"/>
      <c r="G51" s="19"/>
      <c r="H51" s="19"/>
      <c r="I51" s="19"/>
      <c r="J51" s="19"/>
      <c r="K51" s="20"/>
      <c r="L51" s="18" t="s">
        <v>44</v>
      </c>
      <c r="M51" s="19"/>
      <c r="N51" s="19"/>
      <c r="O51" s="19"/>
      <c r="P51" s="19"/>
      <c r="Q51" s="20"/>
      <c r="R51" s="18" t="s">
        <v>5</v>
      </c>
      <c r="S51" s="25"/>
      <c r="T51" s="26"/>
      <c r="U51" s="1"/>
      <c r="V51" s="1"/>
      <c r="W51" s="1"/>
      <c r="X51" s="1"/>
      <c r="Y51" s="1"/>
      <c r="Z51" s="1"/>
      <c r="AA51" s="1"/>
      <c r="AB51" s="1"/>
      <c r="AC51" s="1"/>
      <c r="AD51" s="1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CC51" s="1"/>
      <c r="CD51" s="1"/>
      <c r="CE51" s="1"/>
      <c r="CF51" s="21"/>
      <c r="CG51" s="22"/>
      <c r="CH51" s="22"/>
      <c r="CI51" s="22"/>
      <c r="CJ51" s="22"/>
      <c r="CK51" s="22"/>
      <c r="CL51" s="22"/>
      <c r="CM51" s="21"/>
      <c r="CN51" s="22"/>
      <c r="CO51" s="22"/>
      <c r="CP51" s="22"/>
      <c r="CQ51" s="22"/>
      <c r="CR51" s="23"/>
      <c r="CS51" s="32" t="s">
        <v>18</v>
      </c>
      <c r="CT51" s="22"/>
      <c r="CU51" s="23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P51" s="4" t="s">
        <v>38</v>
      </c>
      <c r="DQ51" s="4">
        <f>COUNTA(DQ53:DQ67)</f>
        <v>0</v>
      </c>
      <c r="EA51" s="1"/>
      <c r="EB51" s="1"/>
      <c r="EC51" s="1"/>
      <c r="ED51" s="1"/>
      <c r="EE51" s="1"/>
      <c r="EF51" s="1"/>
    </row>
    <row r="52" spans="1:154" ht="15.75" customHeight="1" thickBot="1" x14ac:dyDescent="0.3">
      <c r="A52" s="1"/>
      <c r="B52" s="1"/>
      <c r="C52" s="1"/>
      <c r="D52" s="1"/>
      <c r="E52" s="21"/>
      <c r="F52" s="22"/>
      <c r="G52" s="22"/>
      <c r="H52" s="22"/>
      <c r="I52" s="22"/>
      <c r="J52" s="22"/>
      <c r="K52" s="23"/>
      <c r="L52" s="21"/>
      <c r="M52" s="22"/>
      <c r="N52" s="22"/>
      <c r="O52" s="22"/>
      <c r="P52" s="22"/>
      <c r="Q52" s="23"/>
      <c r="R52" s="27" t="s">
        <v>10</v>
      </c>
      <c r="S52" s="25"/>
      <c r="T52" s="26"/>
      <c r="U52" s="1"/>
      <c r="V52" s="1"/>
      <c r="W52" s="1"/>
      <c r="X52" s="1"/>
      <c r="Y52" s="1"/>
      <c r="Z52" s="1"/>
      <c r="AA52" s="1"/>
      <c r="AB52" s="1"/>
      <c r="AC52" s="1"/>
      <c r="AD52" s="1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CB52" s="4" t="s">
        <v>38</v>
      </c>
      <c r="CC52" s="4">
        <f>COUNTA(CC54:CC65)</f>
        <v>0</v>
      </c>
      <c r="CM52" s="1"/>
      <c r="CN52" s="1"/>
      <c r="CO52" s="1"/>
      <c r="CP52" s="1"/>
      <c r="CQ52" s="1"/>
      <c r="CR52" s="1"/>
      <c r="DP52" s="37" t="s">
        <v>39</v>
      </c>
      <c r="DQ52" s="38" t="s">
        <v>40</v>
      </c>
      <c r="DR52" s="39">
        <f>C4+5</f>
        <v>46284</v>
      </c>
      <c r="DS52" s="39">
        <f t="shared" ref="DS52:EX52" si="6">D4+5</f>
        <v>46291</v>
      </c>
      <c r="DT52" s="39">
        <f t="shared" si="6"/>
        <v>46298</v>
      </c>
      <c r="DU52" s="39">
        <f t="shared" si="6"/>
        <v>46305</v>
      </c>
      <c r="DV52" s="40">
        <f t="shared" si="6"/>
        <v>46312</v>
      </c>
      <c r="DW52" s="41">
        <f t="shared" si="6"/>
        <v>46333</v>
      </c>
      <c r="DX52" s="80">
        <f t="shared" si="6"/>
        <v>46340</v>
      </c>
      <c r="DY52" s="39">
        <f t="shared" si="6"/>
        <v>46347</v>
      </c>
      <c r="DZ52" s="39">
        <f t="shared" si="6"/>
        <v>46354</v>
      </c>
      <c r="EA52" s="39">
        <f t="shared" si="6"/>
        <v>46361</v>
      </c>
      <c r="EB52" s="39">
        <f t="shared" si="6"/>
        <v>46368</v>
      </c>
      <c r="EC52" s="40">
        <f t="shared" si="6"/>
        <v>46375</v>
      </c>
      <c r="ED52" s="41">
        <f t="shared" si="6"/>
        <v>46396</v>
      </c>
      <c r="EE52" s="41">
        <f t="shared" si="6"/>
        <v>46403</v>
      </c>
      <c r="EF52" s="39">
        <f t="shared" si="6"/>
        <v>46410</v>
      </c>
      <c r="EG52" s="39">
        <f t="shared" si="6"/>
        <v>46417</v>
      </c>
      <c r="EH52" s="39">
        <f t="shared" si="6"/>
        <v>46424</v>
      </c>
      <c r="EI52" s="40">
        <f t="shared" si="6"/>
        <v>46431</v>
      </c>
      <c r="EJ52" s="41">
        <f t="shared" si="6"/>
        <v>46452</v>
      </c>
      <c r="EK52" s="41">
        <f t="shared" si="6"/>
        <v>46459</v>
      </c>
      <c r="EL52" s="39">
        <f t="shared" si="6"/>
        <v>46466</v>
      </c>
      <c r="EM52" s="42">
        <f t="shared" si="6"/>
        <v>46473</v>
      </c>
      <c r="EN52" s="42">
        <f t="shared" si="6"/>
        <v>46480</v>
      </c>
      <c r="EO52" s="40">
        <f t="shared" si="6"/>
        <v>46487</v>
      </c>
      <c r="EP52" s="41">
        <f t="shared" si="6"/>
        <v>46508</v>
      </c>
      <c r="EQ52" s="41">
        <f t="shared" si="6"/>
        <v>46515</v>
      </c>
      <c r="ER52" s="39">
        <f t="shared" si="6"/>
        <v>46522</v>
      </c>
      <c r="ES52" s="39">
        <f t="shared" si="6"/>
        <v>46529</v>
      </c>
      <c r="ET52" s="39">
        <f t="shared" si="6"/>
        <v>46536</v>
      </c>
      <c r="EU52" s="39">
        <f t="shared" si="6"/>
        <v>46543</v>
      </c>
      <c r="EV52" s="39">
        <f t="shared" si="6"/>
        <v>46550</v>
      </c>
      <c r="EW52" s="39">
        <f t="shared" si="6"/>
        <v>46557</v>
      </c>
      <c r="EX52" s="44">
        <f t="shared" si="6"/>
        <v>46564</v>
      </c>
    </row>
    <row r="53" spans="1:154" ht="15.75" customHeight="1" thickBot="1" x14ac:dyDescent="0.3">
      <c r="A53" s="4" t="s">
        <v>38</v>
      </c>
      <c r="B53" s="4">
        <f>COUNTA(B55:B69)</f>
        <v>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CB53" s="37" t="s">
        <v>39</v>
      </c>
      <c r="CC53" s="38" t="s">
        <v>40</v>
      </c>
      <c r="CD53" s="39">
        <v>46281</v>
      </c>
      <c r="CE53" s="39">
        <v>46288</v>
      </c>
      <c r="CF53" s="39">
        <v>46295</v>
      </c>
      <c r="CG53" s="39">
        <v>46302</v>
      </c>
      <c r="CH53" s="40">
        <v>46309</v>
      </c>
      <c r="CI53" s="41">
        <v>46330</v>
      </c>
      <c r="CJ53" s="80">
        <v>46337</v>
      </c>
      <c r="CK53" s="39">
        <v>46344</v>
      </c>
      <c r="CL53" s="39">
        <v>46351</v>
      </c>
      <c r="CM53" s="39">
        <v>46358</v>
      </c>
      <c r="CN53" s="39">
        <v>46365</v>
      </c>
      <c r="CO53" s="40">
        <v>46372</v>
      </c>
      <c r="CP53" s="41">
        <v>46393</v>
      </c>
      <c r="CQ53" s="41">
        <v>46400</v>
      </c>
      <c r="CR53" s="39">
        <v>46407</v>
      </c>
      <c r="CS53" s="39">
        <v>46414</v>
      </c>
      <c r="CT53" s="39">
        <v>46421</v>
      </c>
      <c r="CU53" s="40">
        <v>46428</v>
      </c>
      <c r="CV53" s="41">
        <v>46449</v>
      </c>
      <c r="CW53" s="41">
        <v>46456</v>
      </c>
      <c r="CX53" s="39">
        <v>46463</v>
      </c>
      <c r="CY53" s="42">
        <v>46470</v>
      </c>
      <c r="CZ53" s="42">
        <v>46477</v>
      </c>
      <c r="DA53" s="40">
        <v>46484</v>
      </c>
      <c r="DB53" s="41">
        <v>46505</v>
      </c>
      <c r="DC53" s="41">
        <v>46512</v>
      </c>
      <c r="DD53" s="39">
        <v>46519</v>
      </c>
      <c r="DE53" s="39">
        <v>46526</v>
      </c>
      <c r="DF53" s="39">
        <v>46533</v>
      </c>
      <c r="DG53" s="39">
        <v>46540</v>
      </c>
      <c r="DH53" s="39">
        <v>46547</v>
      </c>
      <c r="DI53" s="39">
        <v>46554</v>
      </c>
      <c r="DJ53" s="44">
        <v>46561</v>
      </c>
      <c r="DP53" s="45"/>
      <c r="DQ53" s="10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46"/>
    </row>
    <row r="54" spans="1:154" ht="16.5" customHeight="1" thickTop="1" thickBot="1" x14ac:dyDescent="0.3">
      <c r="A54" s="37" t="s">
        <v>39</v>
      </c>
      <c r="B54" s="38" t="s">
        <v>40</v>
      </c>
      <c r="C54" s="39">
        <v>46279</v>
      </c>
      <c r="D54" s="39">
        <v>46286</v>
      </c>
      <c r="E54" s="39">
        <v>46293</v>
      </c>
      <c r="F54" s="39">
        <v>46300</v>
      </c>
      <c r="G54" s="39">
        <v>46307</v>
      </c>
      <c r="H54" s="40">
        <v>46328</v>
      </c>
      <c r="I54" s="41">
        <v>46335</v>
      </c>
      <c r="J54" s="39">
        <v>46342</v>
      </c>
      <c r="K54" s="39">
        <v>46349</v>
      </c>
      <c r="L54" s="39">
        <v>46356</v>
      </c>
      <c r="M54" s="39">
        <v>46363</v>
      </c>
      <c r="N54" s="39">
        <v>46370</v>
      </c>
      <c r="O54" s="40">
        <v>46391</v>
      </c>
      <c r="P54" s="41">
        <v>46398</v>
      </c>
      <c r="Q54" s="39">
        <v>46405</v>
      </c>
      <c r="R54" s="39">
        <v>46412</v>
      </c>
      <c r="S54" s="39">
        <v>46419</v>
      </c>
      <c r="T54" s="39">
        <v>46426</v>
      </c>
      <c r="U54" s="40">
        <v>46447</v>
      </c>
      <c r="V54" s="41">
        <v>46454</v>
      </c>
      <c r="W54" s="39">
        <v>46461</v>
      </c>
      <c r="X54" s="42">
        <v>46468</v>
      </c>
      <c r="Y54" s="42">
        <v>46475</v>
      </c>
      <c r="Z54" s="39">
        <v>46482</v>
      </c>
      <c r="AA54" s="40">
        <v>46503</v>
      </c>
      <c r="AB54" s="41">
        <v>46510</v>
      </c>
      <c r="AC54" s="39">
        <v>46517</v>
      </c>
      <c r="AD54" s="42">
        <v>46524</v>
      </c>
      <c r="AE54" s="39">
        <v>46531</v>
      </c>
      <c r="AF54" s="39">
        <v>46538</v>
      </c>
      <c r="AG54" s="39">
        <v>46545</v>
      </c>
      <c r="AH54" s="39">
        <v>46552</v>
      </c>
      <c r="AI54" s="44">
        <v>46559</v>
      </c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CB54" s="47"/>
      <c r="CC54" s="12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48"/>
      <c r="DP54" s="47"/>
      <c r="DQ54" s="12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48"/>
    </row>
    <row r="55" spans="1:154" ht="15.75" customHeight="1" thickTop="1" x14ac:dyDescent="0.25">
      <c r="A55" s="45"/>
      <c r="B55" s="10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46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CB55" s="45"/>
      <c r="CC55" s="10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46"/>
      <c r="DP55" s="45"/>
      <c r="DQ55" s="10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46"/>
    </row>
    <row r="56" spans="1:154" x14ac:dyDescent="0.25">
      <c r="A56" s="47"/>
      <c r="B56" s="12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48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CB56" s="47"/>
      <c r="CC56" s="12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48"/>
      <c r="DP56" s="47"/>
      <c r="DQ56" s="12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48"/>
    </row>
    <row r="57" spans="1:154" x14ac:dyDescent="0.25">
      <c r="A57" s="45"/>
      <c r="B57" s="10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46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CB57" s="45"/>
      <c r="CC57" s="10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46"/>
      <c r="DP57" s="45"/>
      <c r="DQ57" s="10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46"/>
    </row>
    <row r="58" spans="1:154" x14ac:dyDescent="0.25">
      <c r="A58" s="47"/>
      <c r="B58" s="12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48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CB58" s="47"/>
      <c r="CC58" s="12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48"/>
      <c r="DP58" s="47"/>
      <c r="DQ58" s="12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48"/>
    </row>
    <row r="59" spans="1:154" x14ac:dyDescent="0.25">
      <c r="A59" s="45"/>
      <c r="B59" s="10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46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CB59" s="45"/>
      <c r="CC59" s="10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46"/>
      <c r="DP59" s="45"/>
      <c r="DQ59" s="10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46"/>
    </row>
    <row r="60" spans="1:154" x14ac:dyDescent="0.25">
      <c r="A60" s="47"/>
      <c r="B60" s="12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48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CB60" s="47"/>
      <c r="CC60" s="12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48"/>
      <c r="DP60" s="47"/>
      <c r="DQ60" s="12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48"/>
    </row>
    <row r="61" spans="1:154" x14ac:dyDescent="0.25">
      <c r="A61" s="45"/>
      <c r="B61" s="10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46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CB61" s="45"/>
      <c r="CC61" s="10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46"/>
      <c r="DP61" s="45"/>
      <c r="DQ61" s="10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46"/>
    </row>
    <row r="62" spans="1:154" x14ac:dyDescent="0.25">
      <c r="A62" s="47"/>
      <c r="B62" s="12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48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CB62" s="47"/>
      <c r="CC62" s="12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48"/>
      <c r="DP62" s="47"/>
      <c r="DQ62" s="12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48"/>
    </row>
    <row r="63" spans="1:154" x14ac:dyDescent="0.25">
      <c r="A63" s="45"/>
      <c r="B63" s="10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46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CB63" s="45"/>
      <c r="CC63" s="10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46"/>
      <c r="DP63" s="45"/>
      <c r="DQ63" s="10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46"/>
    </row>
    <row r="64" spans="1:154" ht="15.75" customHeight="1" x14ac:dyDescent="0.25">
      <c r="A64" s="47"/>
      <c r="B64" s="12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48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CB64" s="47"/>
      <c r="CC64" s="12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48"/>
      <c r="DP64" s="47"/>
      <c r="DQ64" s="12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48"/>
    </row>
    <row r="65" spans="1:154" ht="15.75" thickBot="1" x14ac:dyDescent="0.3">
      <c r="A65" s="45"/>
      <c r="B65" s="10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46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CB65" s="49"/>
      <c r="CC65" s="50"/>
      <c r="CD65" s="51"/>
      <c r="CE65" s="51"/>
      <c r="CF65" s="51"/>
      <c r="CG65" s="51"/>
      <c r="CH65" s="51"/>
      <c r="CI65" s="51"/>
      <c r="CJ65" s="51"/>
      <c r="CK65" s="51"/>
      <c r="CL65" s="51"/>
      <c r="CM65" s="51"/>
      <c r="CN65" s="51"/>
      <c r="CO65" s="51"/>
      <c r="CP65" s="51"/>
      <c r="CQ65" s="51"/>
      <c r="CR65" s="51"/>
      <c r="CS65" s="51"/>
      <c r="CT65" s="51"/>
      <c r="CU65" s="51"/>
      <c r="CV65" s="51"/>
      <c r="CW65" s="51"/>
      <c r="CX65" s="51"/>
      <c r="CY65" s="51"/>
      <c r="CZ65" s="51"/>
      <c r="DA65" s="51"/>
      <c r="DB65" s="51"/>
      <c r="DC65" s="51"/>
      <c r="DD65" s="51"/>
      <c r="DE65" s="51"/>
      <c r="DF65" s="51"/>
      <c r="DG65" s="51"/>
      <c r="DH65" s="51"/>
      <c r="DI65" s="51"/>
      <c r="DJ65" s="52"/>
      <c r="DP65" s="45"/>
      <c r="DQ65" s="10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46"/>
    </row>
    <row r="66" spans="1:154" x14ac:dyDescent="0.25">
      <c r="A66" s="47"/>
      <c r="B66" s="12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48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CB66" s="15"/>
      <c r="CC66" s="15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P66" s="47"/>
      <c r="DQ66" s="12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48"/>
    </row>
    <row r="67" spans="1:154" ht="15.75" customHeight="1" thickBot="1" x14ac:dyDescent="0.3">
      <c r="A67" s="45"/>
      <c r="B67" s="10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46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CB67" s="16"/>
      <c r="CC67" s="16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P67" s="49"/>
      <c r="DQ67" s="50"/>
      <c r="DR67" s="51"/>
      <c r="DS67" s="51"/>
      <c r="DT67" s="51"/>
      <c r="DU67" s="51"/>
      <c r="DV67" s="51"/>
      <c r="DW67" s="51"/>
      <c r="DX67" s="51"/>
      <c r="DY67" s="51"/>
      <c r="DZ67" s="51"/>
      <c r="EA67" s="51"/>
      <c r="EB67" s="51"/>
      <c r="EC67" s="51"/>
      <c r="ED67" s="51"/>
      <c r="EE67" s="51"/>
      <c r="EF67" s="51"/>
      <c r="EG67" s="51"/>
      <c r="EH67" s="51"/>
      <c r="EI67" s="51"/>
      <c r="EJ67" s="51"/>
      <c r="EK67" s="51"/>
      <c r="EL67" s="51"/>
      <c r="EM67" s="51"/>
      <c r="EN67" s="51"/>
      <c r="EO67" s="51"/>
      <c r="EP67" s="51"/>
      <c r="EQ67" s="51"/>
      <c r="ER67" s="51"/>
      <c r="ES67" s="51"/>
      <c r="ET67" s="51"/>
      <c r="EU67" s="51"/>
      <c r="EV67" s="51"/>
      <c r="EW67" s="51"/>
      <c r="EX67" s="52"/>
    </row>
    <row r="68" spans="1:154" ht="15.75" customHeight="1" x14ac:dyDescent="0.25">
      <c r="A68" s="47"/>
      <c r="B68" s="12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48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P68" s="15"/>
      <c r="DQ68" s="15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</row>
    <row r="69" spans="1:154" ht="15.75" customHeight="1" thickBot="1" x14ac:dyDescent="0.3">
      <c r="A69" s="49"/>
      <c r="B69" s="50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2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</row>
    <row r="70" spans="1:154" ht="26.25" customHeight="1" thickBot="1" x14ac:dyDescent="0.3">
      <c r="A70" s="15"/>
      <c r="B70" s="15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CC70" s="1"/>
      <c r="CD70" s="1"/>
      <c r="CE70" s="1"/>
      <c r="CF70" s="24" t="s">
        <v>21</v>
      </c>
      <c r="CG70" s="19"/>
      <c r="CH70" s="19"/>
      <c r="CI70" s="19"/>
      <c r="CJ70" s="19"/>
      <c r="CK70" s="19"/>
      <c r="CL70" s="19"/>
      <c r="CM70" s="18" t="s">
        <v>45</v>
      </c>
      <c r="CN70" s="19"/>
      <c r="CO70" s="19"/>
      <c r="CP70" s="19"/>
      <c r="CQ70" s="19"/>
      <c r="CR70" s="20"/>
      <c r="CS70" s="18" t="s">
        <v>17</v>
      </c>
      <c r="CT70" s="25"/>
      <c r="CU70" s="26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  <c r="ER70" s="14"/>
      <c r="ES70" s="14"/>
      <c r="ET70" s="14"/>
      <c r="EU70" s="14"/>
      <c r="EV70" s="14"/>
      <c r="EW70" s="14"/>
      <c r="EX70" s="14"/>
    </row>
    <row r="71" spans="1:154" ht="15.75" customHeight="1" thickBot="1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CC71" s="1"/>
      <c r="CD71" s="1"/>
      <c r="CE71" s="1"/>
      <c r="CF71" s="21"/>
      <c r="CG71" s="22"/>
      <c r="CH71" s="22"/>
      <c r="CI71" s="22"/>
      <c r="CJ71" s="22"/>
      <c r="CK71" s="22"/>
      <c r="CL71" s="22"/>
      <c r="CM71" s="21"/>
      <c r="CN71" s="22"/>
      <c r="CO71" s="22"/>
      <c r="CP71" s="22"/>
      <c r="CQ71" s="22"/>
      <c r="CR71" s="23"/>
      <c r="CS71" s="29" t="s">
        <v>20</v>
      </c>
      <c r="CT71" s="22"/>
      <c r="CU71" s="23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  <c r="ER71" s="14"/>
      <c r="ES71" s="14"/>
      <c r="ET71" s="14"/>
      <c r="EU71" s="14"/>
      <c r="EV71" s="14"/>
      <c r="EW71" s="14"/>
      <c r="EX71" s="14"/>
    </row>
    <row r="72" spans="1:154" ht="15.75" customHeight="1" thickBot="1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CB72" s="4" t="s">
        <v>38</v>
      </c>
      <c r="CC72" s="4">
        <f>COUNTA(CC74:CC88)</f>
        <v>0</v>
      </c>
      <c r="CM72" s="1"/>
      <c r="CN72" s="1"/>
      <c r="CO72" s="1"/>
      <c r="CP72" s="1"/>
      <c r="CQ72" s="1"/>
      <c r="CR72" s="1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  <c r="ER72" s="14"/>
      <c r="ES72" s="14"/>
      <c r="ET72" s="14"/>
      <c r="EU72" s="14"/>
      <c r="EV72" s="14"/>
      <c r="EW72" s="14"/>
      <c r="EX72" s="14"/>
    </row>
    <row r="73" spans="1:154" ht="15.75" customHeight="1" thickBot="1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CB73" s="37" t="s">
        <v>39</v>
      </c>
      <c r="CC73" s="38" t="s">
        <v>40</v>
      </c>
      <c r="CD73" s="39">
        <v>46281</v>
      </c>
      <c r="CE73" s="39">
        <v>46288</v>
      </c>
      <c r="CF73" s="39">
        <v>46295</v>
      </c>
      <c r="CG73" s="39">
        <v>46302</v>
      </c>
      <c r="CH73" s="40">
        <v>46309</v>
      </c>
      <c r="CI73" s="41">
        <v>46330</v>
      </c>
      <c r="CJ73" s="80">
        <v>46337</v>
      </c>
      <c r="CK73" s="39">
        <v>46344</v>
      </c>
      <c r="CL73" s="39">
        <v>46351</v>
      </c>
      <c r="CM73" s="39">
        <v>46358</v>
      </c>
      <c r="CN73" s="39">
        <v>46365</v>
      </c>
      <c r="CO73" s="40">
        <v>46372</v>
      </c>
      <c r="CP73" s="41">
        <v>46393</v>
      </c>
      <c r="CQ73" s="41">
        <v>46400</v>
      </c>
      <c r="CR73" s="39">
        <v>46407</v>
      </c>
      <c r="CS73" s="39">
        <v>46414</v>
      </c>
      <c r="CT73" s="39">
        <v>46421</v>
      </c>
      <c r="CU73" s="40">
        <v>46428</v>
      </c>
      <c r="CV73" s="41">
        <v>46449</v>
      </c>
      <c r="CW73" s="41">
        <v>46456</v>
      </c>
      <c r="CX73" s="39">
        <v>46463</v>
      </c>
      <c r="CY73" s="42">
        <v>46470</v>
      </c>
      <c r="CZ73" s="42">
        <v>46477</v>
      </c>
      <c r="DA73" s="40">
        <v>46484</v>
      </c>
      <c r="DB73" s="41">
        <v>46505</v>
      </c>
      <c r="DC73" s="41">
        <v>46512</v>
      </c>
      <c r="DD73" s="39">
        <v>46519</v>
      </c>
      <c r="DE73" s="39">
        <v>46526</v>
      </c>
      <c r="DF73" s="39">
        <v>46533</v>
      </c>
      <c r="DG73" s="39">
        <v>46540</v>
      </c>
      <c r="DH73" s="39">
        <v>46547</v>
      </c>
      <c r="DI73" s="39">
        <v>46554</v>
      </c>
      <c r="DJ73" s="44">
        <v>46561</v>
      </c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</row>
    <row r="74" spans="1:154" ht="15.75" customHeight="1" thickTop="1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CB74" s="47"/>
      <c r="CC74" s="12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48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</row>
    <row r="75" spans="1:154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CB75" s="45"/>
      <c r="CC75" s="10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46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</row>
    <row r="76" spans="1:154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CB76" s="47"/>
      <c r="CC76" s="12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48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</row>
    <row r="77" spans="1:154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CB77" s="45"/>
      <c r="CC77" s="10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46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  <c r="ER77" s="14"/>
      <c r="ES77" s="14"/>
      <c r="ET77" s="14"/>
      <c r="EU77" s="14"/>
      <c r="EV77" s="14"/>
      <c r="EW77" s="14"/>
      <c r="EX77" s="14"/>
    </row>
    <row r="78" spans="1:154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CB78" s="47"/>
      <c r="CC78" s="12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48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  <c r="ES78" s="14"/>
      <c r="ET78" s="14"/>
      <c r="EU78" s="14"/>
      <c r="EV78" s="14"/>
      <c r="EW78" s="14"/>
      <c r="EX78" s="14"/>
    </row>
    <row r="79" spans="1:154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CB79" s="45"/>
      <c r="CC79" s="10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46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</row>
    <row r="80" spans="1:154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CB80" s="47"/>
      <c r="CC80" s="12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48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</row>
    <row r="81" spans="1:154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CB81" s="45"/>
      <c r="CC81" s="10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46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</row>
    <row r="82" spans="1:154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CB82" s="47"/>
      <c r="CC82" s="12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48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</row>
    <row r="83" spans="1:154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CB83" s="45"/>
      <c r="CC83" s="10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46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</row>
    <row r="84" spans="1:154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CB84" s="47"/>
      <c r="CC84" s="12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48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4"/>
      <c r="EJ84" s="14"/>
      <c r="EK84" s="14"/>
      <c r="EL84" s="14"/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</row>
    <row r="85" spans="1:154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CB85" s="45"/>
      <c r="CC85" s="10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46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</row>
    <row r="86" spans="1:154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CB86" s="47"/>
      <c r="CC86" s="12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48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</row>
    <row r="87" spans="1:154" ht="15.7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CB87" s="45"/>
      <c r="CC87" s="10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46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</row>
    <row r="88" spans="1:154" ht="15.75" thickBot="1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CB88" s="74"/>
      <c r="CC88" s="75"/>
      <c r="CD88" s="76"/>
      <c r="CE88" s="76"/>
      <c r="CF88" s="76"/>
      <c r="CG88" s="76"/>
      <c r="CH88" s="76"/>
      <c r="CI88" s="76"/>
      <c r="CJ88" s="76"/>
      <c r="CK88" s="76"/>
      <c r="CL88" s="76"/>
      <c r="CM88" s="76"/>
      <c r="CN88" s="76"/>
      <c r="CO88" s="76"/>
      <c r="CP88" s="76"/>
      <c r="CQ88" s="76"/>
      <c r="CR88" s="76"/>
      <c r="CS88" s="76"/>
      <c r="CT88" s="76"/>
      <c r="CU88" s="76"/>
      <c r="CV88" s="76"/>
      <c r="CW88" s="76"/>
      <c r="CX88" s="76"/>
      <c r="CY88" s="76"/>
      <c r="CZ88" s="76"/>
      <c r="DA88" s="76"/>
      <c r="DB88" s="76"/>
      <c r="DC88" s="76"/>
      <c r="DD88" s="76"/>
      <c r="DE88" s="76"/>
      <c r="DF88" s="76"/>
      <c r="DG88" s="76"/>
      <c r="DH88" s="76"/>
      <c r="DI88" s="76"/>
      <c r="DJ88" s="77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</row>
    <row r="89" spans="1:154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CB89" s="15"/>
      <c r="CC89" s="15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</row>
    <row r="90" spans="1:154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</row>
    <row r="91" spans="1:154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4"/>
      <c r="EJ91" s="14"/>
      <c r="EK91" s="14"/>
      <c r="EL91" s="14"/>
      <c r="EM91" s="14"/>
      <c r="EN91" s="14"/>
      <c r="EO91" s="14"/>
      <c r="EP91" s="14"/>
      <c r="EQ91" s="14"/>
      <c r="ER91" s="14"/>
      <c r="ES91" s="14"/>
      <c r="ET91" s="14"/>
      <c r="EU91" s="14"/>
      <c r="EV91" s="14"/>
      <c r="EW91" s="14"/>
      <c r="EX91" s="14"/>
    </row>
    <row r="92" spans="1:154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4"/>
      <c r="EJ92" s="14"/>
      <c r="EK92" s="14"/>
      <c r="EL92" s="14"/>
      <c r="EM92" s="14"/>
      <c r="EN92" s="14"/>
      <c r="EO92" s="14"/>
      <c r="EP92" s="14"/>
      <c r="EQ92" s="14"/>
      <c r="ER92" s="14"/>
      <c r="ES92" s="14"/>
      <c r="ET92" s="14"/>
      <c r="EU92" s="14"/>
      <c r="EV92" s="14"/>
      <c r="EW92" s="14"/>
      <c r="EX92" s="14"/>
    </row>
    <row r="93" spans="1:154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4"/>
      <c r="EJ93" s="14"/>
      <c r="EK93" s="14"/>
      <c r="EL93" s="14"/>
      <c r="EM93" s="14"/>
      <c r="EN93" s="14"/>
      <c r="EO93" s="14"/>
      <c r="EP93" s="14"/>
      <c r="EQ93" s="14"/>
      <c r="ER93" s="14"/>
      <c r="ES93" s="14"/>
      <c r="ET93" s="14"/>
      <c r="EU93" s="14"/>
      <c r="EV93" s="14"/>
      <c r="EW93" s="14"/>
      <c r="EX93" s="14"/>
    </row>
    <row r="94" spans="1:154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4"/>
      <c r="EJ94" s="14"/>
      <c r="EK94" s="14"/>
      <c r="EL94" s="14"/>
      <c r="EM94" s="14"/>
      <c r="EN94" s="14"/>
      <c r="EO94" s="14"/>
      <c r="EP94" s="14"/>
      <c r="EQ94" s="14"/>
      <c r="ER94" s="14"/>
      <c r="ES94" s="14"/>
      <c r="ET94" s="14"/>
      <c r="EU94" s="14"/>
      <c r="EV94" s="14"/>
      <c r="EW94" s="14"/>
      <c r="EX94" s="14"/>
    </row>
    <row r="95" spans="1:154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</row>
    <row r="96" spans="1:154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4"/>
      <c r="EJ96" s="14"/>
      <c r="EK96" s="14"/>
      <c r="EL96" s="14"/>
      <c r="EM96" s="14"/>
      <c r="EN96" s="14"/>
      <c r="EO96" s="14"/>
      <c r="EP96" s="14"/>
      <c r="EQ96" s="14"/>
      <c r="ER96" s="14"/>
      <c r="ES96" s="14"/>
      <c r="ET96" s="14"/>
      <c r="EU96" s="14"/>
      <c r="EV96" s="14"/>
      <c r="EW96" s="14"/>
      <c r="EX96" s="14"/>
    </row>
    <row r="97" spans="1:154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</row>
    <row r="98" spans="1:154" ht="15.75" customHeight="1" thickBot="1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4"/>
      <c r="EJ98" s="14"/>
      <c r="EK98" s="14"/>
      <c r="EL98" s="14"/>
      <c r="EM98" s="14"/>
      <c r="EN98" s="14"/>
      <c r="EO98" s="14"/>
      <c r="EP98" s="14"/>
      <c r="EQ98" s="14"/>
      <c r="ER98" s="14"/>
      <c r="ES98" s="14"/>
      <c r="ET98" s="14"/>
      <c r="EU98" s="14"/>
      <c r="EV98" s="14"/>
      <c r="EW98" s="14"/>
      <c r="EX98" s="14"/>
    </row>
    <row r="99" spans="1:154" ht="26.25" customHeight="1" thickBot="1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CC99" s="1"/>
      <c r="CD99" s="1"/>
      <c r="CE99" s="1"/>
      <c r="CF99" s="24" t="s">
        <v>23</v>
      </c>
      <c r="CG99" s="19"/>
      <c r="CH99" s="19"/>
      <c r="CI99" s="19"/>
      <c r="CJ99" s="19"/>
      <c r="CK99" s="19"/>
      <c r="CL99" s="19"/>
      <c r="CM99" s="18" t="s">
        <v>46</v>
      </c>
      <c r="CN99" s="19"/>
      <c r="CO99" s="19"/>
      <c r="CP99" s="19"/>
      <c r="CQ99" s="19"/>
      <c r="CR99" s="20"/>
      <c r="CS99" s="18" t="s">
        <v>17</v>
      </c>
      <c r="CT99" s="25"/>
      <c r="CU99" s="26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4"/>
      <c r="EJ99" s="14"/>
      <c r="EK99" s="14"/>
      <c r="EL99" s="14"/>
      <c r="EM99" s="14"/>
      <c r="EN99" s="14"/>
      <c r="EO99" s="14"/>
      <c r="EP99" s="14"/>
      <c r="EQ99" s="14"/>
      <c r="ER99" s="14"/>
      <c r="ES99" s="14"/>
      <c r="ET99" s="14"/>
      <c r="EU99" s="14"/>
      <c r="EV99" s="14"/>
      <c r="EW99" s="14"/>
      <c r="EX99" s="14"/>
    </row>
    <row r="100" spans="1:154" ht="15.75" customHeight="1" thickBot="1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CB100" s="15" t="s">
        <v>38</v>
      </c>
      <c r="CC100" s="15">
        <f>COUNTA(CC102:CC112)</f>
        <v>0</v>
      </c>
      <c r="CD100" s="14"/>
      <c r="CE100" s="14"/>
      <c r="CF100" s="81"/>
      <c r="CG100" s="82"/>
      <c r="CH100" s="82"/>
      <c r="CI100" s="82"/>
      <c r="CJ100" s="82"/>
      <c r="CK100" s="82"/>
      <c r="CL100" s="82"/>
      <c r="CM100" s="81"/>
      <c r="CN100" s="82"/>
      <c r="CO100" s="82"/>
      <c r="CP100" s="82"/>
      <c r="CQ100" s="82"/>
      <c r="CR100" s="83"/>
      <c r="CS100" s="85" t="s">
        <v>22</v>
      </c>
      <c r="CT100" s="82"/>
      <c r="CU100" s="83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4"/>
      <c r="EJ100" s="14"/>
      <c r="EK100" s="14"/>
      <c r="EL100" s="14"/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</row>
    <row r="101" spans="1:154" ht="26.25" customHeight="1" thickBot="1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CB101" s="37" t="s">
        <v>39</v>
      </c>
      <c r="CC101" s="38" t="s">
        <v>40</v>
      </c>
      <c r="CD101" s="39">
        <v>46281</v>
      </c>
      <c r="CE101" s="39">
        <v>46288</v>
      </c>
      <c r="CF101" s="39">
        <v>46295</v>
      </c>
      <c r="CG101" s="39">
        <v>46302</v>
      </c>
      <c r="CH101" s="40">
        <v>46309</v>
      </c>
      <c r="CI101" s="41">
        <v>46330</v>
      </c>
      <c r="CJ101" s="80">
        <v>46337</v>
      </c>
      <c r="CK101" s="39">
        <v>46344</v>
      </c>
      <c r="CL101" s="39">
        <v>46351</v>
      </c>
      <c r="CM101" s="39">
        <v>46358</v>
      </c>
      <c r="CN101" s="39">
        <v>46365</v>
      </c>
      <c r="CO101" s="40">
        <v>46372</v>
      </c>
      <c r="CP101" s="41">
        <v>46393</v>
      </c>
      <c r="CQ101" s="41">
        <v>46400</v>
      </c>
      <c r="CR101" s="39">
        <v>46407</v>
      </c>
      <c r="CS101" s="39">
        <v>46414</v>
      </c>
      <c r="CT101" s="39">
        <v>46421</v>
      </c>
      <c r="CU101" s="40">
        <v>46428</v>
      </c>
      <c r="CV101" s="41">
        <v>46449</v>
      </c>
      <c r="CW101" s="41">
        <v>46456</v>
      </c>
      <c r="CX101" s="39">
        <v>46463</v>
      </c>
      <c r="CY101" s="42">
        <v>46470</v>
      </c>
      <c r="CZ101" s="42">
        <v>46477</v>
      </c>
      <c r="DA101" s="40">
        <v>46484</v>
      </c>
      <c r="DB101" s="41">
        <v>46505</v>
      </c>
      <c r="DC101" s="41">
        <v>46512</v>
      </c>
      <c r="DD101" s="39">
        <v>46519</v>
      </c>
      <c r="DE101" s="39">
        <v>46526</v>
      </c>
      <c r="DF101" s="39">
        <v>46533</v>
      </c>
      <c r="DG101" s="39">
        <v>46540</v>
      </c>
      <c r="DH101" s="39">
        <v>46547</v>
      </c>
      <c r="DI101" s="39">
        <v>46554</v>
      </c>
      <c r="DJ101" s="44">
        <v>46561</v>
      </c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4"/>
      <c r="EJ101" s="14"/>
      <c r="EK101" s="14"/>
      <c r="EL101" s="14"/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</row>
    <row r="102" spans="1:154" ht="15.75" customHeight="1" thickTop="1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CB102" s="47"/>
      <c r="CC102" s="12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48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</row>
    <row r="103" spans="1:154" ht="15.75" customHeight="1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CB103" s="45"/>
      <c r="CC103" s="10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46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</row>
    <row r="104" spans="1:154" ht="15.75" customHeight="1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CB104" s="47"/>
      <c r="CC104" s="12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48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</row>
    <row r="105" spans="1:154" ht="15.75" customHeight="1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CB105" s="45"/>
      <c r="CC105" s="10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46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</row>
    <row r="106" spans="1:154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CB106" s="47"/>
      <c r="CC106" s="12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48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</row>
    <row r="107" spans="1:154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CB107" s="45"/>
      <c r="CC107" s="10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46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</row>
    <row r="108" spans="1:154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CB108" s="47"/>
      <c r="CC108" s="12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48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</row>
    <row r="109" spans="1:154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CB109" s="45"/>
      <c r="CC109" s="10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46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14"/>
      <c r="EK109" s="14"/>
      <c r="EL109" s="14"/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</row>
    <row r="110" spans="1:154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CB110" s="47"/>
      <c r="CC110" s="12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48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4"/>
      <c r="EJ110" s="14"/>
      <c r="EK110" s="14"/>
      <c r="EL110" s="14"/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</row>
    <row r="111" spans="1:154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CB111" s="45"/>
      <c r="CC111" s="10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46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4"/>
      <c r="EJ111" s="14"/>
      <c r="EK111" s="14"/>
      <c r="EL111" s="14"/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</row>
    <row r="112" spans="1:154" ht="15.75" thickBot="1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CB112" s="74"/>
      <c r="CC112" s="75"/>
      <c r="CD112" s="76"/>
      <c r="CE112" s="76"/>
      <c r="CF112" s="76"/>
      <c r="CG112" s="76"/>
      <c r="CH112" s="76"/>
      <c r="CI112" s="76"/>
      <c r="CJ112" s="76"/>
      <c r="CK112" s="76"/>
      <c r="CL112" s="76"/>
      <c r="CM112" s="76"/>
      <c r="CN112" s="76"/>
      <c r="CO112" s="76"/>
      <c r="CP112" s="76"/>
      <c r="CQ112" s="76"/>
      <c r="CR112" s="76"/>
      <c r="CS112" s="76"/>
      <c r="CT112" s="76"/>
      <c r="CU112" s="76"/>
      <c r="CV112" s="76"/>
      <c r="CW112" s="76"/>
      <c r="CX112" s="76"/>
      <c r="CY112" s="76"/>
      <c r="CZ112" s="76"/>
      <c r="DA112" s="76"/>
      <c r="DB112" s="76"/>
      <c r="DC112" s="76"/>
      <c r="DD112" s="76"/>
      <c r="DE112" s="76"/>
      <c r="DF112" s="76"/>
      <c r="DG112" s="76"/>
      <c r="DH112" s="76"/>
      <c r="DI112" s="76"/>
      <c r="DJ112" s="77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14"/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</row>
    <row r="113" spans="1:154" ht="15.75" customHeight="1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</row>
    <row r="114" spans="1:154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4"/>
      <c r="EJ114" s="14"/>
      <c r="EK114" s="14"/>
      <c r="EL114" s="14"/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</row>
    <row r="115" spans="1:154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</row>
    <row r="116" spans="1:154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14"/>
      <c r="EK116" s="14"/>
      <c r="EL116" s="14"/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</row>
    <row r="117" spans="1:154" ht="15.75" customHeight="1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4"/>
      <c r="EJ117" s="14"/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</row>
    <row r="118" spans="1:154" ht="15.75" customHeight="1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CB118" s="15"/>
      <c r="CC118" s="15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</row>
    <row r="119" spans="1:154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4"/>
      <c r="EJ119" s="14"/>
      <c r="EK119" s="14"/>
      <c r="EL119" s="14"/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</row>
    <row r="120" spans="1:154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4"/>
      <c r="EJ120" s="14"/>
      <c r="EK120" s="14"/>
      <c r="EL120" s="14"/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</row>
    <row r="121" spans="1:154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4"/>
      <c r="EJ121" s="14"/>
      <c r="EK121" s="14"/>
      <c r="EL121" s="14"/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</row>
    <row r="122" spans="1:154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4"/>
      <c r="EJ122" s="14"/>
      <c r="EK122" s="14"/>
      <c r="EL122" s="14"/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</row>
    <row r="123" spans="1:154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4"/>
      <c r="EJ123" s="14"/>
      <c r="EK123" s="14"/>
      <c r="EL123" s="14"/>
      <c r="EM123" s="14"/>
      <c r="EN123" s="14"/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</row>
    <row r="124" spans="1:154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4"/>
      <c r="EJ124" s="14"/>
      <c r="EK124" s="14"/>
      <c r="EL124" s="14"/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</row>
    <row r="125" spans="1:154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4"/>
      <c r="EJ125" s="14"/>
      <c r="EK125" s="14"/>
      <c r="EL125" s="14"/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</row>
    <row r="126" spans="1:154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</row>
    <row r="127" spans="1:154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4"/>
      <c r="EJ127" s="14"/>
      <c r="EK127" s="14"/>
      <c r="EL127" s="14"/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</row>
    <row r="128" spans="1:154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4"/>
      <c r="EJ128" s="14"/>
      <c r="EK128" s="14"/>
      <c r="EL128" s="14"/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</row>
    <row r="129" spans="1:154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P129" s="14"/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4"/>
      <c r="EJ129" s="14"/>
      <c r="EK129" s="14"/>
      <c r="EL129" s="14"/>
      <c r="EM129" s="14"/>
      <c r="EN129" s="14"/>
      <c r="EO129" s="14"/>
      <c r="EP129" s="14"/>
      <c r="EQ129" s="14"/>
      <c r="ER129" s="14"/>
      <c r="ES129" s="14"/>
      <c r="ET129" s="14"/>
      <c r="EU129" s="14"/>
      <c r="EV129" s="14"/>
      <c r="EW129" s="14"/>
      <c r="EX129" s="14"/>
    </row>
    <row r="130" spans="1:154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4"/>
      <c r="EJ130" s="14"/>
      <c r="EK130" s="14"/>
      <c r="EL130" s="14"/>
      <c r="EM130" s="14"/>
      <c r="EN130" s="14"/>
      <c r="EO130" s="14"/>
      <c r="EP130" s="14"/>
      <c r="EQ130" s="14"/>
      <c r="ER130" s="14"/>
      <c r="ES130" s="14"/>
      <c r="ET130" s="14"/>
      <c r="EU130" s="14"/>
      <c r="EV130" s="14"/>
      <c r="EW130" s="14"/>
      <c r="EX130" s="14"/>
    </row>
    <row r="131" spans="1:154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4"/>
      <c r="EJ131" s="14"/>
      <c r="EK131" s="14"/>
      <c r="EL131" s="14"/>
      <c r="EM131" s="14"/>
      <c r="EN131" s="14"/>
      <c r="EO131" s="14"/>
      <c r="EP131" s="14"/>
      <c r="EQ131" s="14"/>
      <c r="ER131" s="14"/>
      <c r="ES131" s="14"/>
      <c r="ET131" s="14"/>
      <c r="EU131" s="14"/>
      <c r="EV131" s="14"/>
      <c r="EW131" s="14"/>
      <c r="EX131" s="14"/>
    </row>
    <row r="132" spans="1:154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4"/>
      <c r="EJ132" s="14"/>
      <c r="EK132" s="14"/>
      <c r="EL132" s="14"/>
      <c r="EM132" s="14"/>
      <c r="EN132" s="14"/>
      <c r="EO132" s="14"/>
      <c r="EP132" s="14"/>
      <c r="EQ132" s="14"/>
      <c r="ER132" s="14"/>
      <c r="ES132" s="14"/>
      <c r="ET132" s="14"/>
      <c r="EU132" s="14"/>
      <c r="EV132" s="14"/>
      <c r="EW132" s="14"/>
      <c r="EX132" s="14"/>
    </row>
    <row r="133" spans="1:154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4"/>
      <c r="EJ133" s="14"/>
      <c r="EK133" s="14"/>
      <c r="EL133" s="14"/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</row>
    <row r="134" spans="1:154" ht="15.75" customHeight="1" thickBot="1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4"/>
      <c r="EJ134" s="14"/>
      <c r="EK134" s="14"/>
      <c r="EL134" s="14"/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</row>
    <row r="135" spans="1:154" ht="26.25" customHeight="1" thickBot="1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CC135" s="1"/>
      <c r="CD135" s="1"/>
      <c r="CE135" s="1"/>
      <c r="CF135" s="24" t="s">
        <v>19</v>
      </c>
      <c r="CG135" s="19"/>
      <c r="CH135" s="19"/>
      <c r="CI135" s="19"/>
      <c r="CJ135" s="19"/>
      <c r="CK135" s="19"/>
      <c r="CL135" s="19"/>
      <c r="CM135" s="18" t="s">
        <v>46</v>
      </c>
      <c r="CN135" s="19"/>
      <c r="CO135" s="19"/>
      <c r="CP135" s="19"/>
      <c r="CQ135" s="19"/>
      <c r="CR135" s="20"/>
      <c r="CS135" s="18" t="s">
        <v>17</v>
      </c>
      <c r="CT135" s="25"/>
      <c r="CU135" s="26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4"/>
      <c r="EJ135" s="14"/>
      <c r="EK135" s="14"/>
      <c r="EL135" s="14"/>
      <c r="EM135" s="14"/>
      <c r="EN135" s="14"/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</row>
    <row r="136" spans="1:154" ht="15.75" customHeight="1" thickBot="1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CB136" s="15" t="s">
        <v>38</v>
      </c>
      <c r="CC136" s="15">
        <f>COUNTA(CC138:CC149)</f>
        <v>0</v>
      </c>
      <c r="CD136" s="14"/>
      <c r="CE136" s="14"/>
      <c r="CF136" s="81"/>
      <c r="CG136" s="82"/>
      <c r="CH136" s="82"/>
      <c r="CI136" s="82"/>
      <c r="CJ136" s="82"/>
      <c r="CK136" s="82"/>
      <c r="CL136" s="82"/>
      <c r="CM136" s="81"/>
      <c r="CN136" s="82"/>
      <c r="CO136" s="82"/>
      <c r="CP136" s="82"/>
      <c r="CQ136" s="82"/>
      <c r="CR136" s="83"/>
      <c r="CS136" s="85" t="s">
        <v>28</v>
      </c>
      <c r="CT136" s="82"/>
      <c r="CU136" s="83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</row>
    <row r="137" spans="1:154" ht="15.75" customHeight="1" thickBot="1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CB137" s="37" t="s">
        <v>39</v>
      </c>
      <c r="CC137" s="38" t="s">
        <v>40</v>
      </c>
      <c r="CD137" s="39">
        <f>CD4</f>
        <v>46281</v>
      </c>
      <c r="CE137" s="39">
        <f t="shared" ref="CE137:DJ137" si="7">CE4</f>
        <v>46288</v>
      </c>
      <c r="CF137" s="39">
        <f t="shared" si="7"/>
        <v>46295</v>
      </c>
      <c r="CG137" s="39">
        <f t="shared" si="7"/>
        <v>46302</v>
      </c>
      <c r="CH137" s="40">
        <f t="shared" si="7"/>
        <v>46309</v>
      </c>
      <c r="CI137" s="41">
        <f t="shared" si="7"/>
        <v>46330</v>
      </c>
      <c r="CJ137" s="80">
        <f t="shared" si="7"/>
        <v>46337</v>
      </c>
      <c r="CK137" s="39">
        <f t="shared" si="7"/>
        <v>46344</v>
      </c>
      <c r="CL137" s="39">
        <f t="shared" si="7"/>
        <v>46351</v>
      </c>
      <c r="CM137" s="39">
        <f t="shared" si="7"/>
        <v>46358</v>
      </c>
      <c r="CN137" s="39">
        <f t="shared" si="7"/>
        <v>46365</v>
      </c>
      <c r="CO137" s="40">
        <f t="shared" si="7"/>
        <v>46372</v>
      </c>
      <c r="CP137" s="41">
        <f t="shared" si="7"/>
        <v>46393</v>
      </c>
      <c r="CQ137" s="41">
        <f t="shared" si="7"/>
        <v>46400</v>
      </c>
      <c r="CR137" s="39">
        <f t="shared" si="7"/>
        <v>46407</v>
      </c>
      <c r="CS137" s="39">
        <f t="shared" si="7"/>
        <v>46414</v>
      </c>
      <c r="CT137" s="39">
        <f t="shared" si="7"/>
        <v>46421</v>
      </c>
      <c r="CU137" s="40">
        <f t="shared" si="7"/>
        <v>46428</v>
      </c>
      <c r="CV137" s="41">
        <f t="shared" si="7"/>
        <v>46449</v>
      </c>
      <c r="CW137" s="41">
        <f t="shared" si="7"/>
        <v>46456</v>
      </c>
      <c r="CX137" s="39">
        <f t="shared" si="7"/>
        <v>46463</v>
      </c>
      <c r="CY137" s="42">
        <f t="shared" si="7"/>
        <v>46470</v>
      </c>
      <c r="CZ137" s="42">
        <f t="shared" si="7"/>
        <v>46477</v>
      </c>
      <c r="DA137" s="40">
        <f t="shared" si="7"/>
        <v>46484</v>
      </c>
      <c r="DB137" s="41">
        <f t="shared" si="7"/>
        <v>46505</v>
      </c>
      <c r="DC137" s="41">
        <f t="shared" si="7"/>
        <v>46512</v>
      </c>
      <c r="DD137" s="39">
        <f t="shared" si="7"/>
        <v>46519</v>
      </c>
      <c r="DE137" s="39">
        <f t="shared" si="7"/>
        <v>46526</v>
      </c>
      <c r="DF137" s="39">
        <f t="shared" si="7"/>
        <v>46533</v>
      </c>
      <c r="DG137" s="39">
        <f t="shared" si="7"/>
        <v>46540</v>
      </c>
      <c r="DH137" s="39">
        <f t="shared" si="7"/>
        <v>46547</v>
      </c>
      <c r="DI137" s="39">
        <f t="shared" si="7"/>
        <v>46554</v>
      </c>
      <c r="DJ137" s="44">
        <f t="shared" si="7"/>
        <v>46561</v>
      </c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4"/>
      <c r="EJ137" s="14"/>
      <c r="EK137" s="14"/>
      <c r="EL137" s="14"/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</row>
    <row r="138" spans="1:154" ht="15.75" customHeight="1" thickTop="1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CB138" s="47"/>
      <c r="CC138" s="12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48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4"/>
      <c r="EJ138" s="14"/>
      <c r="EK138" s="14"/>
      <c r="EL138" s="14"/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</row>
    <row r="139" spans="1:154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CB139" s="45"/>
      <c r="CC139" s="10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46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4"/>
      <c r="EJ139" s="14"/>
      <c r="EK139" s="14"/>
      <c r="EL139" s="14"/>
      <c r="EM139" s="14"/>
      <c r="EN139" s="14"/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</row>
    <row r="140" spans="1:154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CB140" s="47"/>
      <c r="CC140" s="12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48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4"/>
      <c r="EJ140" s="14"/>
      <c r="EK140" s="14"/>
      <c r="EL140" s="14"/>
      <c r="EM140" s="14"/>
      <c r="EN140" s="14"/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</row>
    <row r="141" spans="1:154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CB141" s="45"/>
      <c r="CC141" s="10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46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4"/>
      <c r="EJ141" s="14"/>
      <c r="EK141" s="14"/>
      <c r="EL141" s="14"/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</row>
    <row r="142" spans="1:154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CB142" s="47"/>
      <c r="CC142" s="12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48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4"/>
      <c r="EJ142" s="14"/>
      <c r="EK142" s="14"/>
      <c r="EL142" s="14"/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</row>
    <row r="143" spans="1:154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CB143" s="45"/>
      <c r="CC143" s="10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46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4"/>
      <c r="EJ143" s="14"/>
      <c r="EK143" s="14"/>
      <c r="EL143" s="14"/>
      <c r="EM143" s="14"/>
      <c r="EN143" s="14"/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</row>
    <row r="144" spans="1:154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CB144" s="47"/>
      <c r="CC144" s="12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48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4"/>
      <c r="EJ144" s="14"/>
      <c r="EK144" s="14"/>
      <c r="EL144" s="14"/>
      <c r="EM144" s="14"/>
      <c r="EN144" s="14"/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</row>
    <row r="145" spans="1:154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CB145" s="45"/>
      <c r="CC145" s="10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46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4"/>
      <c r="EJ145" s="14"/>
      <c r="EK145" s="14"/>
      <c r="EL145" s="14"/>
      <c r="EM145" s="14"/>
      <c r="EN145" s="14"/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</row>
    <row r="146" spans="1:154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CB146" s="47"/>
      <c r="CC146" s="12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48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4"/>
      <c r="EJ146" s="14"/>
      <c r="EK146" s="14"/>
      <c r="EL146" s="14"/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</row>
    <row r="147" spans="1:154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CB147" s="45"/>
      <c r="CC147" s="10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46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  <c r="EM147" s="14"/>
      <c r="EN147" s="14"/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</row>
    <row r="148" spans="1:154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CB148" s="47"/>
      <c r="CC148" s="12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48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  <c r="EM148" s="14"/>
      <c r="EN148" s="14"/>
      <c r="EO148" s="14"/>
      <c r="EP148" s="14"/>
      <c r="EQ148" s="14"/>
      <c r="ER148" s="14"/>
      <c r="ES148" s="14"/>
      <c r="ET148" s="14"/>
      <c r="EU148" s="14"/>
      <c r="EV148" s="14"/>
      <c r="EW148" s="14"/>
      <c r="EX148" s="14"/>
    </row>
    <row r="149" spans="1:154" ht="15.75" customHeight="1" thickBot="1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CB149" s="49"/>
      <c r="CC149" s="50"/>
      <c r="CD149" s="51"/>
      <c r="CE149" s="51"/>
      <c r="CF149" s="51"/>
      <c r="CG149" s="51"/>
      <c r="CH149" s="51"/>
      <c r="CI149" s="51"/>
      <c r="CJ149" s="51"/>
      <c r="CK149" s="51"/>
      <c r="CL149" s="51"/>
      <c r="CM149" s="51"/>
      <c r="CN149" s="51"/>
      <c r="CO149" s="51"/>
      <c r="CP149" s="51"/>
      <c r="CQ149" s="51"/>
      <c r="CR149" s="51"/>
      <c r="CS149" s="51"/>
      <c r="CT149" s="51"/>
      <c r="CU149" s="51"/>
      <c r="CV149" s="51"/>
      <c r="CW149" s="51"/>
      <c r="CX149" s="51"/>
      <c r="CY149" s="51"/>
      <c r="CZ149" s="51"/>
      <c r="DA149" s="51"/>
      <c r="DB149" s="51"/>
      <c r="DC149" s="51"/>
      <c r="DD149" s="51"/>
      <c r="DE149" s="51"/>
      <c r="DF149" s="51"/>
      <c r="DG149" s="51"/>
      <c r="DH149" s="51"/>
      <c r="DI149" s="51"/>
      <c r="DJ149" s="52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4"/>
      <c r="EJ149" s="14"/>
      <c r="EK149" s="14"/>
      <c r="EL149" s="14"/>
      <c r="EM149" s="14"/>
      <c r="EN149" s="14"/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</row>
    <row r="150" spans="1:154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CB150" s="15"/>
      <c r="CC150" s="15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4"/>
      <c r="DF150" s="14"/>
      <c r="DG150" s="14"/>
      <c r="DH150" s="14"/>
      <c r="DI150" s="14"/>
      <c r="DJ150" s="14"/>
      <c r="DP150" s="14"/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4"/>
      <c r="ED150" s="14"/>
      <c r="EE150" s="14"/>
      <c r="EF150" s="14"/>
      <c r="EG150" s="14"/>
      <c r="EH150" s="14"/>
      <c r="EI150" s="14"/>
      <c r="EJ150" s="14"/>
      <c r="EK150" s="14"/>
      <c r="EL150" s="14"/>
      <c r="EM150" s="14"/>
      <c r="EN150" s="14"/>
      <c r="EO150" s="14"/>
      <c r="EP150" s="14"/>
      <c r="EQ150" s="14"/>
      <c r="ER150" s="14"/>
      <c r="ES150" s="14"/>
      <c r="ET150" s="14"/>
      <c r="EU150" s="14"/>
      <c r="EV150" s="14"/>
      <c r="EW150" s="14"/>
      <c r="EX150" s="14"/>
    </row>
    <row r="151" spans="1:154" ht="15.75" customHeight="1" thickBot="1" x14ac:dyDescent="0.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DP151" s="14"/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4"/>
      <c r="ED151" s="14"/>
      <c r="EE151" s="14"/>
      <c r="EF151" s="14"/>
      <c r="EG151" s="14"/>
      <c r="EH151" s="14"/>
      <c r="EI151" s="14"/>
      <c r="EJ151" s="14"/>
      <c r="EK151" s="14"/>
      <c r="EL151" s="14"/>
      <c r="EM151" s="14"/>
      <c r="EN151" s="14"/>
      <c r="EO151" s="14"/>
      <c r="EP151" s="14"/>
      <c r="EQ151" s="14"/>
      <c r="ER151" s="14"/>
      <c r="ES151" s="14"/>
      <c r="ET151" s="14"/>
      <c r="EU151" s="14"/>
      <c r="EV151" s="14"/>
      <c r="EW151" s="14"/>
      <c r="EX151" s="14"/>
    </row>
    <row r="152" spans="1:154" ht="26.25" customHeight="1" thickBot="1" x14ac:dyDescent="0.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CC152" s="1"/>
      <c r="CD152" s="1"/>
      <c r="CE152" s="1"/>
      <c r="CF152" s="24" t="s">
        <v>24</v>
      </c>
      <c r="CG152" s="19"/>
      <c r="CH152" s="19"/>
      <c r="CI152" s="19"/>
      <c r="CJ152" s="19"/>
      <c r="CK152" s="19"/>
      <c r="CL152" s="19"/>
      <c r="CM152" s="18" t="s">
        <v>45</v>
      </c>
      <c r="CN152" s="19"/>
      <c r="CO152" s="19"/>
      <c r="CP152" s="19"/>
      <c r="CQ152" s="19"/>
      <c r="CR152" s="20"/>
      <c r="CS152" s="18" t="s">
        <v>17</v>
      </c>
      <c r="CT152" s="25"/>
      <c r="CU152" s="26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P152" s="14"/>
      <c r="DQ152" s="14"/>
      <c r="DR152" s="14"/>
      <c r="DS152" s="14"/>
      <c r="DT152" s="14"/>
      <c r="DU152" s="14"/>
      <c r="DV152" s="14"/>
      <c r="DW152" s="14"/>
      <c r="DX152" s="14"/>
      <c r="DY152" s="14"/>
      <c r="DZ152" s="14"/>
      <c r="EA152" s="14"/>
      <c r="EB152" s="14"/>
      <c r="EC152" s="14"/>
      <c r="ED152" s="14"/>
      <c r="EE152" s="14"/>
      <c r="EF152" s="14"/>
      <c r="EG152" s="14"/>
      <c r="EH152" s="14"/>
      <c r="EI152" s="14"/>
      <c r="EJ152" s="14"/>
      <c r="EK152" s="14"/>
      <c r="EL152" s="14"/>
      <c r="EM152" s="14"/>
      <c r="EN152" s="14"/>
      <c r="EO152" s="14"/>
      <c r="EP152" s="14"/>
      <c r="EQ152" s="14"/>
      <c r="ER152" s="14"/>
      <c r="ES152" s="14"/>
      <c r="ET152" s="14"/>
      <c r="EU152" s="14"/>
      <c r="EV152" s="14"/>
      <c r="EW152" s="14"/>
      <c r="EX152" s="14"/>
    </row>
    <row r="153" spans="1:154" ht="15.75" customHeight="1" thickBot="1" x14ac:dyDescent="0.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CC153" s="1"/>
      <c r="CD153" s="1"/>
      <c r="CE153" s="1"/>
      <c r="CF153" s="21"/>
      <c r="CG153" s="22"/>
      <c r="CH153" s="22"/>
      <c r="CI153" s="22"/>
      <c r="CJ153" s="22"/>
      <c r="CK153" s="22"/>
      <c r="CL153" s="22"/>
      <c r="CM153" s="21"/>
      <c r="CN153" s="22"/>
      <c r="CO153" s="22"/>
      <c r="CP153" s="22"/>
      <c r="CQ153" s="22"/>
      <c r="CR153" s="23"/>
      <c r="CS153" s="32" t="s">
        <v>22</v>
      </c>
      <c r="CT153" s="22"/>
      <c r="CU153" s="23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P153" s="14"/>
      <c r="DQ153" s="14"/>
      <c r="DR153" s="14"/>
      <c r="DS153" s="14"/>
      <c r="DT153" s="14"/>
      <c r="DU153" s="14"/>
      <c r="DV153" s="14"/>
      <c r="DW153" s="14"/>
      <c r="DX153" s="14"/>
      <c r="DY153" s="14"/>
      <c r="DZ153" s="14"/>
      <c r="EA153" s="14"/>
      <c r="EB153" s="14"/>
      <c r="EC153" s="14"/>
      <c r="ED153" s="14"/>
      <c r="EE153" s="14"/>
      <c r="EF153" s="14"/>
      <c r="EG153" s="14"/>
      <c r="EH153" s="14"/>
      <c r="EI153" s="14"/>
      <c r="EJ153" s="14"/>
      <c r="EK153" s="14"/>
      <c r="EL153" s="14"/>
      <c r="EM153" s="14"/>
      <c r="EN153" s="14"/>
      <c r="EO153" s="14"/>
      <c r="EP153" s="14"/>
      <c r="EQ153" s="14"/>
      <c r="ER153" s="14"/>
      <c r="ES153" s="14"/>
      <c r="ET153" s="14"/>
      <c r="EU153" s="14"/>
      <c r="EV153" s="14"/>
      <c r="EW153" s="14"/>
      <c r="EX153" s="14"/>
    </row>
    <row r="154" spans="1:154" ht="15.75" customHeight="1" thickBot="1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CB154" s="4" t="s">
        <v>38</v>
      </c>
      <c r="CC154" s="4">
        <f>COUNTA(CC156:CC163)</f>
        <v>0</v>
      </c>
      <c r="CM154" s="1"/>
      <c r="CN154" s="1"/>
      <c r="CO154" s="1"/>
      <c r="CP154" s="1"/>
      <c r="CQ154" s="1"/>
      <c r="CR154" s="1"/>
      <c r="DP154" s="14"/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14"/>
      <c r="EC154" s="14"/>
      <c r="ED154" s="14"/>
      <c r="EE154" s="14"/>
      <c r="EF154" s="14"/>
      <c r="EG154" s="14"/>
      <c r="EH154" s="14"/>
      <c r="EI154" s="14"/>
      <c r="EJ154" s="14"/>
      <c r="EK154" s="14"/>
      <c r="EL154" s="14"/>
      <c r="EM154" s="14"/>
      <c r="EN154" s="14"/>
      <c r="EO154" s="14"/>
      <c r="EP154" s="14"/>
      <c r="EQ154" s="14"/>
      <c r="ER154" s="14"/>
      <c r="ES154" s="14"/>
      <c r="ET154" s="14"/>
      <c r="EU154" s="14"/>
      <c r="EV154" s="14"/>
      <c r="EW154" s="14"/>
      <c r="EX154" s="14"/>
    </row>
    <row r="155" spans="1:154" ht="15.75" customHeight="1" thickBot="1" x14ac:dyDescent="0.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CB155" s="37" t="s">
        <v>39</v>
      </c>
      <c r="CC155" s="38" t="s">
        <v>40</v>
      </c>
      <c r="CD155" s="39">
        <f>CD4</f>
        <v>46281</v>
      </c>
      <c r="CE155" s="39">
        <f t="shared" ref="CE155:DJ155" si="8">CE4</f>
        <v>46288</v>
      </c>
      <c r="CF155" s="39">
        <f t="shared" si="8"/>
        <v>46295</v>
      </c>
      <c r="CG155" s="39">
        <f t="shared" si="8"/>
        <v>46302</v>
      </c>
      <c r="CH155" s="40">
        <f t="shared" si="8"/>
        <v>46309</v>
      </c>
      <c r="CI155" s="41">
        <f t="shared" si="8"/>
        <v>46330</v>
      </c>
      <c r="CJ155" s="80">
        <f t="shared" si="8"/>
        <v>46337</v>
      </c>
      <c r="CK155" s="39">
        <f t="shared" si="8"/>
        <v>46344</v>
      </c>
      <c r="CL155" s="39">
        <f t="shared" si="8"/>
        <v>46351</v>
      </c>
      <c r="CM155" s="39">
        <f t="shared" si="8"/>
        <v>46358</v>
      </c>
      <c r="CN155" s="39">
        <f t="shared" si="8"/>
        <v>46365</v>
      </c>
      <c r="CO155" s="40">
        <f t="shared" si="8"/>
        <v>46372</v>
      </c>
      <c r="CP155" s="41">
        <f t="shared" si="8"/>
        <v>46393</v>
      </c>
      <c r="CQ155" s="41">
        <f t="shared" si="8"/>
        <v>46400</v>
      </c>
      <c r="CR155" s="39">
        <f t="shared" si="8"/>
        <v>46407</v>
      </c>
      <c r="CS155" s="39">
        <f t="shared" si="8"/>
        <v>46414</v>
      </c>
      <c r="CT155" s="39">
        <f t="shared" si="8"/>
        <v>46421</v>
      </c>
      <c r="CU155" s="40">
        <f t="shared" si="8"/>
        <v>46428</v>
      </c>
      <c r="CV155" s="41">
        <f t="shared" si="8"/>
        <v>46449</v>
      </c>
      <c r="CW155" s="41">
        <f t="shared" si="8"/>
        <v>46456</v>
      </c>
      <c r="CX155" s="39">
        <f t="shared" si="8"/>
        <v>46463</v>
      </c>
      <c r="CY155" s="42">
        <f t="shared" si="8"/>
        <v>46470</v>
      </c>
      <c r="CZ155" s="42">
        <f t="shared" si="8"/>
        <v>46477</v>
      </c>
      <c r="DA155" s="40">
        <f t="shared" si="8"/>
        <v>46484</v>
      </c>
      <c r="DB155" s="41">
        <f t="shared" si="8"/>
        <v>46505</v>
      </c>
      <c r="DC155" s="41">
        <f t="shared" si="8"/>
        <v>46512</v>
      </c>
      <c r="DD155" s="39">
        <f t="shared" si="8"/>
        <v>46519</v>
      </c>
      <c r="DE155" s="39">
        <f t="shared" si="8"/>
        <v>46526</v>
      </c>
      <c r="DF155" s="39">
        <f t="shared" si="8"/>
        <v>46533</v>
      </c>
      <c r="DG155" s="39">
        <f t="shared" si="8"/>
        <v>46540</v>
      </c>
      <c r="DH155" s="39">
        <f t="shared" si="8"/>
        <v>46547</v>
      </c>
      <c r="DI155" s="39">
        <f t="shared" si="8"/>
        <v>46554</v>
      </c>
      <c r="DJ155" s="44">
        <f t="shared" si="8"/>
        <v>46561</v>
      </c>
      <c r="DP155" s="14"/>
      <c r="DQ155" s="14"/>
      <c r="DR155" s="14"/>
      <c r="DS155" s="14"/>
      <c r="DT155" s="14"/>
      <c r="DU155" s="14"/>
      <c r="DV155" s="14"/>
      <c r="DW155" s="14"/>
      <c r="DX155" s="14"/>
      <c r="DY155" s="14"/>
      <c r="DZ155" s="14"/>
      <c r="EA155" s="14"/>
      <c r="EB155" s="14"/>
      <c r="EC155" s="14"/>
      <c r="ED155" s="14"/>
      <c r="EE155" s="14"/>
      <c r="EF155" s="14"/>
      <c r="EG155" s="14"/>
      <c r="EH155" s="14"/>
      <c r="EI155" s="14"/>
      <c r="EJ155" s="14"/>
      <c r="EK155" s="14"/>
      <c r="EL155" s="14"/>
      <c r="EM155" s="14"/>
      <c r="EN155" s="14"/>
      <c r="EO155" s="14"/>
      <c r="EP155" s="14"/>
      <c r="EQ155" s="14"/>
      <c r="ER155" s="14"/>
      <c r="ES155" s="14"/>
      <c r="ET155" s="14"/>
      <c r="EU155" s="14"/>
      <c r="EV155" s="14"/>
      <c r="EW155" s="14"/>
      <c r="EX155" s="14"/>
    </row>
    <row r="156" spans="1:154" ht="15.75" customHeight="1" thickTop="1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CB156" s="47"/>
      <c r="CC156" s="12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48"/>
      <c r="DP156" s="14"/>
      <c r="DQ156" s="14"/>
      <c r="DR156" s="14"/>
      <c r="DS156" s="14"/>
      <c r="DT156" s="14"/>
      <c r="DU156" s="14"/>
      <c r="DV156" s="14"/>
      <c r="DW156" s="14"/>
      <c r="DX156" s="14"/>
      <c r="DY156" s="14"/>
      <c r="DZ156" s="14"/>
      <c r="EA156" s="14"/>
      <c r="EB156" s="14"/>
      <c r="EC156" s="14"/>
      <c r="ED156" s="14"/>
      <c r="EE156" s="14"/>
      <c r="EF156" s="14"/>
      <c r="EG156" s="14"/>
      <c r="EH156" s="14"/>
      <c r="EI156" s="14"/>
      <c r="EJ156" s="14"/>
      <c r="EK156" s="14"/>
      <c r="EL156" s="14"/>
      <c r="EM156" s="14"/>
      <c r="EN156" s="14"/>
      <c r="EO156" s="14"/>
      <c r="EP156" s="14"/>
      <c r="EQ156" s="14"/>
      <c r="ER156" s="14"/>
      <c r="ES156" s="14"/>
      <c r="ET156" s="14"/>
      <c r="EU156" s="14"/>
      <c r="EV156" s="14"/>
      <c r="EW156" s="14"/>
      <c r="EX156" s="14"/>
    </row>
    <row r="157" spans="1:154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CB157" s="45"/>
      <c r="CC157" s="10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46"/>
      <c r="DP157" s="14"/>
      <c r="DQ157" s="14"/>
      <c r="DR157" s="14"/>
      <c r="DS157" s="14"/>
      <c r="DT157" s="14"/>
      <c r="DU157" s="14"/>
      <c r="DV157" s="14"/>
      <c r="DW157" s="14"/>
      <c r="DX157" s="14"/>
      <c r="DY157" s="14"/>
      <c r="DZ157" s="14"/>
      <c r="EA157" s="14"/>
      <c r="EB157" s="14"/>
      <c r="EC157" s="14"/>
      <c r="ED157" s="14"/>
      <c r="EE157" s="14"/>
      <c r="EF157" s="14"/>
      <c r="EG157" s="14"/>
      <c r="EH157" s="14"/>
      <c r="EI157" s="14"/>
      <c r="EJ157" s="14"/>
      <c r="EK157" s="14"/>
      <c r="EL157" s="14"/>
      <c r="EM157" s="14"/>
      <c r="EN157" s="14"/>
      <c r="EO157" s="14"/>
      <c r="EP157" s="14"/>
      <c r="EQ157" s="14"/>
      <c r="ER157" s="14"/>
      <c r="ES157" s="14"/>
      <c r="ET157" s="14"/>
      <c r="EU157" s="14"/>
      <c r="EV157" s="14"/>
      <c r="EW157" s="14"/>
      <c r="EX157" s="14"/>
    </row>
    <row r="158" spans="1:154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CB158" s="47"/>
      <c r="CC158" s="12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48"/>
      <c r="DP158" s="14"/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14"/>
      <c r="EB158" s="14"/>
      <c r="EC158" s="14"/>
      <c r="ED158" s="14"/>
      <c r="EE158" s="14"/>
      <c r="EF158" s="14"/>
      <c r="EG158" s="14"/>
      <c r="EH158" s="14"/>
      <c r="EI158" s="14"/>
      <c r="EJ158" s="14"/>
      <c r="EK158" s="14"/>
      <c r="EL158" s="14"/>
      <c r="EM158" s="14"/>
      <c r="EN158" s="14"/>
      <c r="EO158" s="14"/>
      <c r="EP158" s="14"/>
      <c r="EQ158" s="14"/>
      <c r="ER158" s="14"/>
      <c r="ES158" s="14"/>
      <c r="ET158" s="14"/>
      <c r="EU158" s="14"/>
      <c r="EV158" s="14"/>
      <c r="EW158" s="14"/>
      <c r="EX158" s="14"/>
    </row>
    <row r="159" spans="1:154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CB159" s="45"/>
      <c r="CC159" s="10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46"/>
      <c r="DP159" s="14"/>
      <c r="DQ159" s="14"/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4"/>
      <c r="ED159" s="14"/>
      <c r="EE159" s="14"/>
      <c r="EF159" s="14"/>
      <c r="EG159" s="14"/>
      <c r="EH159" s="14"/>
      <c r="EI159" s="14"/>
      <c r="EJ159" s="14"/>
      <c r="EK159" s="14"/>
      <c r="EL159" s="14"/>
      <c r="EM159" s="14"/>
      <c r="EN159" s="14"/>
      <c r="EO159" s="14"/>
      <c r="EP159" s="14"/>
      <c r="EQ159" s="14"/>
      <c r="ER159" s="14"/>
      <c r="ES159" s="14"/>
      <c r="ET159" s="14"/>
      <c r="EU159" s="14"/>
      <c r="EV159" s="14"/>
      <c r="EW159" s="14"/>
      <c r="EX159" s="14"/>
    </row>
    <row r="160" spans="1:154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CB160" s="47"/>
      <c r="CC160" s="12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48"/>
      <c r="DP160" s="14"/>
      <c r="DQ160" s="14"/>
      <c r="DR160" s="14"/>
      <c r="DS160" s="14"/>
      <c r="DT160" s="14"/>
      <c r="DU160" s="14"/>
      <c r="DV160" s="14"/>
      <c r="DW160" s="14"/>
      <c r="DX160" s="14"/>
      <c r="DY160" s="14"/>
      <c r="DZ160" s="14"/>
      <c r="EA160" s="14"/>
      <c r="EB160" s="14"/>
      <c r="EC160" s="14"/>
      <c r="ED160" s="14"/>
      <c r="EE160" s="14"/>
      <c r="EF160" s="14"/>
      <c r="EG160" s="14"/>
      <c r="EH160" s="14"/>
      <c r="EI160" s="14"/>
      <c r="EJ160" s="14"/>
      <c r="EK160" s="14"/>
      <c r="EL160" s="14"/>
      <c r="EM160" s="14"/>
      <c r="EN160" s="14"/>
      <c r="EO160" s="14"/>
      <c r="EP160" s="14"/>
      <c r="EQ160" s="14"/>
      <c r="ER160" s="14"/>
      <c r="ES160" s="14"/>
      <c r="ET160" s="14"/>
      <c r="EU160" s="14"/>
      <c r="EV160" s="14"/>
      <c r="EW160" s="14"/>
      <c r="EX160" s="14"/>
    </row>
    <row r="161" spans="1:154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CB161" s="45"/>
      <c r="CC161" s="10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46"/>
      <c r="DP161" s="14"/>
      <c r="DQ161" s="14"/>
      <c r="DR161" s="14"/>
      <c r="DS161" s="14"/>
      <c r="DT161" s="14"/>
      <c r="DU161" s="14"/>
      <c r="DV161" s="14"/>
      <c r="DW161" s="14"/>
      <c r="DX161" s="14"/>
      <c r="DY161" s="14"/>
      <c r="DZ161" s="14"/>
      <c r="EA161" s="14"/>
      <c r="EB161" s="14"/>
      <c r="EC161" s="14"/>
      <c r="ED161" s="14"/>
      <c r="EE161" s="14"/>
      <c r="EF161" s="14"/>
      <c r="EG161" s="14"/>
      <c r="EH161" s="14"/>
      <c r="EI161" s="14"/>
      <c r="EJ161" s="14"/>
      <c r="EK161" s="14"/>
      <c r="EL161" s="14"/>
      <c r="EM161" s="14"/>
      <c r="EN161" s="14"/>
      <c r="EO161" s="14"/>
      <c r="EP161" s="14"/>
      <c r="EQ161" s="14"/>
      <c r="ER161" s="14"/>
      <c r="ES161" s="14"/>
      <c r="ET161" s="14"/>
      <c r="EU161" s="14"/>
      <c r="EV161" s="14"/>
      <c r="EW161" s="14"/>
      <c r="EX161" s="14"/>
    </row>
    <row r="162" spans="1:154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CB162" s="47"/>
      <c r="CC162" s="12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48"/>
      <c r="DP162" s="14"/>
      <c r="DQ162" s="14"/>
      <c r="DR162" s="14"/>
      <c r="DS162" s="14"/>
      <c r="DT162" s="14"/>
      <c r="DU162" s="14"/>
      <c r="DV162" s="14"/>
      <c r="DW162" s="14"/>
      <c r="DX162" s="14"/>
      <c r="DY162" s="14"/>
      <c r="DZ162" s="14"/>
      <c r="EA162" s="14"/>
      <c r="EB162" s="14"/>
      <c r="EC162" s="14"/>
      <c r="ED162" s="14"/>
      <c r="EE162" s="14"/>
      <c r="EF162" s="14"/>
      <c r="EG162" s="14"/>
      <c r="EH162" s="14"/>
      <c r="EI162" s="14"/>
      <c r="EJ162" s="14"/>
      <c r="EK162" s="14"/>
      <c r="EL162" s="14"/>
      <c r="EM162" s="14"/>
      <c r="EN162" s="14"/>
      <c r="EO162" s="14"/>
      <c r="EP162" s="14"/>
      <c r="EQ162" s="14"/>
      <c r="ER162" s="14"/>
      <c r="ES162" s="14"/>
      <c r="ET162" s="14"/>
      <c r="EU162" s="14"/>
      <c r="EV162" s="14"/>
      <c r="EW162" s="14"/>
      <c r="EX162" s="14"/>
    </row>
    <row r="163" spans="1:154" ht="15.75" thickBot="1" x14ac:dyDescent="0.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CB163" s="49"/>
      <c r="CC163" s="50"/>
      <c r="CD163" s="51"/>
      <c r="CE163" s="51"/>
      <c r="CF163" s="51"/>
      <c r="CG163" s="51"/>
      <c r="CH163" s="51"/>
      <c r="CI163" s="51"/>
      <c r="CJ163" s="51"/>
      <c r="CK163" s="51"/>
      <c r="CL163" s="51"/>
      <c r="CM163" s="51"/>
      <c r="CN163" s="51"/>
      <c r="CO163" s="51"/>
      <c r="CP163" s="51"/>
      <c r="CQ163" s="51"/>
      <c r="CR163" s="51"/>
      <c r="CS163" s="51"/>
      <c r="CT163" s="51"/>
      <c r="CU163" s="51"/>
      <c r="CV163" s="51"/>
      <c r="CW163" s="51"/>
      <c r="CX163" s="51"/>
      <c r="CY163" s="51"/>
      <c r="CZ163" s="51"/>
      <c r="DA163" s="51"/>
      <c r="DB163" s="51"/>
      <c r="DC163" s="51"/>
      <c r="DD163" s="51"/>
      <c r="DE163" s="51"/>
      <c r="DF163" s="51"/>
      <c r="DG163" s="51"/>
      <c r="DH163" s="51"/>
      <c r="DI163" s="51"/>
      <c r="DJ163" s="52"/>
      <c r="DP163" s="14"/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4"/>
      <c r="ED163" s="14"/>
      <c r="EE163" s="14"/>
      <c r="EF163" s="14"/>
      <c r="EG163" s="14"/>
      <c r="EH163" s="14"/>
      <c r="EI163" s="14"/>
      <c r="EJ163" s="14"/>
      <c r="EK163" s="14"/>
      <c r="EL163" s="14"/>
      <c r="EM163" s="14"/>
      <c r="EN163" s="14"/>
      <c r="EO163" s="14"/>
      <c r="EP163" s="14"/>
      <c r="EQ163" s="14"/>
      <c r="ER163" s="14"/>
      <c r="ES163" s="14"/>
      <c r="ET163" s="14"/>
      <c r="EU163" s="14"/>
      <c r="EV163" s="14"/>
      <c r="EW163" s="14"/>
      <c r="EX163" s="14"/>
    </row>
    <row r="164" spans="1:154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CB164" s="16"/>
      <c r="CC164" s="16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14"/>
      <c r="EH164" s="14"/>
      <c r="EI164" s="14"/>
      <c r="EJ164" s="14"/>
      <c r="EK164" s="14"/>
      <c r="EL164" s="14"/>
      <c r="EM164" s="14"/>
      <c r="EN164" s="14"/>
      <c r="EO164" s="14"/>
      <c r="EP164" s="14"/>
      <c r="EQ164" s="14"/>
      <c r="ER164" s="14"/>
      <c r="ES164" s="14"/>
      <c r="ET164" s="14"/>
      <c r="EU164" s="14"/>
      <c r="EV164" s="14"/>
      <c r="EW164" s="14"/>
      <c r="EX164" s="14"/>
    </row>
    <row r="165" spans="1:154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CB165" s="16"/>
      <c r="CC165" s="16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4"/>
      <c r="EJ165" s="14"/>
      <c r="EK165" s="14"/>
      <c r="EL165" s="14"/>
      <c r="EM165" s="14"/>
      <c r="EN165" s="14"/>
      <c r="EO165" s="14"/>
      <c r="EP165" s="14"/>
      <c r="EQ165" s="14"/>
      <c r="ER165" s="14"/>
      <c r="ES165" s="14"/>
      <c r="ET165" s="14"/>
      <c r="EU165" s="14"/>
      <c r="EV165" s="14"/>
      <c r="EW165" s="14"/>
      <c r="EX165" s="14"/>
    </row>
    <row r="166" spans="1:154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CB166" s="16"/>
      <c r="CC166" s="16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4"/>
      <c r="DF166" s="14"/>
      <c r="DG166" s="14"/>
      <c r="DH166" s="14"/>
      <c r="DI166" s="14"/>
      <c r="DJ166" s="14"/>
      <c r="DP166" s="14"/>
      <c r="DQ166" s="14"/>
      <c r="DR166" s="14"/>
      <c r="DS166" s="14"/>
      <c r="DT166" s="14"/>
      <c r="DU166" s="14"/>
      <c r="DV166" s="14"/>
      <c r="DW166" s="14"/>
      <c r="DX166" s="14"/>
      <c r="DY166" s="14"/>
      <c r="DZ166" s="14"/>
      <c r="EA166" s="14"/>
      <c r="EB166" s="14"/>
      <c r="EC166" s="14"/>
      <c r="ED166" s="14"/>
      <c r="EE166" s="14"/>
      <c r="EF166" s="14"/>
      <c r="EG166" s="14"/>
      <c r="EH166" s="14"/>
      <c r="EI166" s="14"/>
      <c r="EJ166" s="14"/>
      <c r="EK166" s="14"/>
      <c r="EL166" s="14"/>
      <c r="EM166" s="14"/>
      <c r="EN166" s="14"/>
      <c r="EO166" s="14"/>
      <c r="EP166" s="14"/>
      <c r="EQ166" s="14"/>
      <c r="ER166" s="14"/>
      <c r="ES166" s="14"/>
      <c r="ET166" s="14"/>
      <c r="EU166" s="14"/>
      <c r="EV166" s="14"/>
      <c r="EW166" s="14"/>
      <c r="EX166" s="14"/>
    </row>
    <row r="167" spans="1:154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CB167" s="16"/>
      <c r="CC167" s="16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4"/>
      <c r="DF167" s="14"/>
      <c r="DG167" s="14"/>
      <c r="DH167" s="14"/>
      <c r="DI167" s="14"/>
      <c r="DJ167" s="14"/>
      <c r="DP167" s="14"/>
      <c r="DQ167" s="14"/>
      <c r="DR167" s="14"/>
      <c r="DS167" s="14"/>
      <c r="DT167" s="14"/>
      <c r="DU167" s="14"/>
      <c r="DV167" s="14"/>
      <c r="DW167" s="14"/>
      <c r="DX167" s="14"/>
      <c r="DY167" s="14"/>
      <c r="DZ167" s="14"/>
      <c r="EA167" s="14"/>
      <c r="EB167" s="14"/>
      <c r="EC167" s="14"/>
      <c r="ED167" s="14"/>
      <c r="EE167" s="14"/>
      <c r="EF167" s="14"/>
      <c r="EG167" s="14"/>
      <c r="EH167" s="14"/>
      <c r="EI167" s="14"/>
      <c r="EJ167" s="14"/>
      <c r="EK167" s="14"/>
      <c r="EL167" s="14"/>
      <c r="EM167" s="14"/>
      <c r="EN167" s="14"/>
      <c r="EO167" s="14"/>
      <c r="EP167" s="14"/>
      <c r="EQ167" s="14"/>
      <c r="ER167" s="14"/>
      <c r="ES167" s="14"/>
      <c r="ET167" s="14"/>
      <c r="EU167" s="14"/>
      <c r="EV167" s="14"/>
      <c r="EW167" s="14"/>
      <c r="EX167" s="14"/>
    </row>
    <row r="168" spans="1:154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CB168" s="16"/>
      <c r="CC168" s="16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4"/>
      <c r="DF168" s="14"/>
      <c r="DG168" s="14"/>
      <c r="DH168" s="14"/>
      <c r="DI168" s="14"/>
      <c r="DJ168" s="14"/>
      <c r="DP168" s="14"/>
      <c r="DQ168" s="14"/>
      <c r="DR168" s="14"/>
      <c r="DS168" s="14"/>
      <c r="DT168" s="14"/>
      <c r="DU168" s="14"/>
      <c r="DV168" s="14"/>
      <c r="DW168" s="14"/>
      <c r="DX168" s="14"/>
      <c r="DY168" s="14"/>
      <c r="DZ168" s="14"/>
      <c r="EA168" s="14"/>
      <c r="EB168" s="14"/>
      <c r="EC168" s="14"/>
      <c r="ED168" s="14"/>
      <c r="EE168" s="14"/>
      <c r="EF168" s="14"/>
      <c r="EG168" s="14"/>
      <c r="EH168" s="14"/>
      <c r="EI168" s="14"/>
      <c r="EJ168" s="14"/>
      <c r="EK168" s="14"/>
      <c r="EL168" s="14"/>
      <c r="EM168" s="14"/>
      <c r="EN168" s="14"/>
      <c r="EO168" s="14"/>
      <c r="EP168" s="14"/>
      <c r="EQ168" s="14"/>
      <c r="ER168" s="14"/>
      <c r="ES168" s="14"/>
      <c r="ET168" s="14"/>
      <c r="EU168" s="14"/>
      <c r="EV168" s="14"/>
      <c r="EW168" s="14"/>
      <c r="EX168" s="14"/>
    </row>
    <row r="169" spans="1:154" ht="15.75" customHeight="1" thickBot="1" x14ac:dyDescent="0.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CB169" s="16"/>
      <c r="CC169" s="16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4"/>
      <c r="DF169" s="14"/>
      <c r="DG169" s="14"/>
      <c r="DH169" s="14"/>
      <c r="DI169" s="14"/>
      <c r="DJ169" s="14"/>
      <c r="DP169" s="14"/>
      <c r="DQ169" s="14"/>
      <c r="DR169" s="14"/>
      <c r="DS169" s="14"/>
      <c r="DT169" s="14"/>
      <c r="DU169" s="14"/>
      <c r="DV169" s="14"/>
      <c r="DW169" s="14"/>
      <c r="DX169" s="14"/>
      <c r="DY169" s="14"/>
      <c r="DZ169" s="14"/>
      <c r="EA169" s="14"/>
      <c r="EB169" s="14"/>
      <c r="EC169" s="14"/>
      <c r="ED169" s="14"/>
      <c r="EE169" s="14"/>
      <c r="EF169" s="14"/>
      <c r="EG169" s="14"/>
      <c r="EH169" s="14"/>
      <c r="EI169" s="14"/>
      <c r="EJ169" s="14"/>
      <c r="EK169" s="14"/>
      <c r="EL169" s="14"/>
      <c r="EM169" s="14"/>
      <c r="EN169" s="14"/>
      <c r="EO169" s="14"/>
      <c r="EP169" s="14"/>
      <c r="EQ169" s="14"/>
      <c r="ER169" s="14"/>
      <c r="ES169" s="14"/>
      <c r="ET169" s="14"/>
      <c r="EU169" s="14"/>
      <c r="EV169" s="14"/>
      <c r="EW169" s="14"/>
      <c r="EX169" s="14"/>
    </row>
    <row r="170" spans="1:154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4"/>
      <c r="DF170" s="14"/>
      <c r="DG170" s="14"/>
      <c r="DH170" s="14"/>
      <c r="DI170" s="14"/>
      <c r="DJ170" s="14"/>
      <c r="DP170" s="14"/>
      <c r="DQ170" s="14"/>
      <c r="DR170" s="14"/>
      <c r="DS170" s="14"/>
      <c r="DT170" s="14"/>
      <c r="DU170" s="14"/>
      <c r="DV170" s="14"/>
      <c r="DW170" s="14"/>
      <c r="DX170" s="14"/>
      <c r="DY170" s="14"/>
      <c r="DZ170" s="14"/>
      <c r="EA170" s="14"/>
      <c r="EB170" s="14"/>
      <c r="EC170" s="14"/>
      <c r="ED170" s="14"/>
      <c r="EE170" s="14"/>
      <c r="EF170" s="14"/>
      <c r="EG170" s="14"/>
      <c r="EH170" s="14"/>
      <c r="EI170" s="14"/>
      <c r="EJ170" s="14"/>
      <c r="EK170" s="14"/>
      <c r="EL170" s="14"/>
      <c r="EM170" s="14"/>
      <c r="EN170" s="14"/>
      <c r="EO170" s="14"/>
      <c r="EP170" s="14"/>
      <c r="EQ170" s="14"/>
      <c r="ER170" s="14"/>
      <c r="ES170" s="14"/>
      <c r="ET170" s="14"/>
      <c r="EU170" s="14"/>
      <c r="EV170" s="14"/>
      <c r="EW170" s="14"/>
      <c r="EX170" s="14"/>
    </row>
    <row r="171" spans="1:154" ht="15.75" customHeight="1" thickBot="1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DP171" s="14"/>
      <c r="DQ171" s="14"/>
      <c r="DR171" s="14"/>
      <c r="DS171" s="14"/>
      <c r="DT171" s="14"/>
      <c r="DU171" s="14"/>
      <c r="DV171" s="14"/>
      <c r="DW171" s="14"/>
      <c r="DX171" s="14"/>
      <c r="DY171" s="14"/>
      <c r="DZ171" s="14"/>
      <c r="EA171" s="14"/>
      <c r="EB171" s="14"/>
      <c r="EC171" s="14"/>
      <c r="ED171" s="14"/>
      <c r="EE171" s="14"/>
      <c r="EF171" s="14"/>
      <c r="EG171" s="14"/>
      <c r="EH171" s="14"/>
      <c r="EI171" s="14"/>
      <c r="EJ171" s="14"/>
      <c r="EK171" s="14"/>
      <c r="EL171" s="14"/>
      <c r="EM171" s="14"/>
      <c r="EN171" s="14"/>
      <c r="EO171" s="14"/>
      <c r="EP171" s="14"/>
      <c r="EQ171" s="14"/>
      <c r="ER171" s="14"/>
      <c r="ES171" s="14"/>
      <c r="ET171" s="14"/>
      <c r="EU171" s="14"/>
      <c r="EV171" s="14"/>
      <c r="EW171" s="14"/>
      <c r="EX171" s="14"/>
    </row>
    <row r="172" spans="1:154" ht="26.25" customHeight="1" thickBot="1" x14ac:dyDescent="0.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CC172" s="1"/>
      <c r="CD172" s="1"/>
      <c r="CE172" s="1"/>
      <c r="CF172" s="24" t="s">
        <v>21</v>
      </c>
      <c r="CG172" s="19"/>
      <c r="CH172" s="19"/>
      <c r="CI172" s="19"/>
      <c r="CJ172" s="19"/>
      <c r="CK172" s="19"/>
      <c r="CL172" s="19"/>
      <c r="CM172" s="18" t="s">
        <v>45</v>
      </c>
      <c r="CN172" s="19"/>
      <c r="CO172" s="19"/>
      <c r="CP172" s="19"/>
      <c r="CQ172" s="19"/>
      <c r="CR172" s="20"/>
      <c r="CS172" s="18" t="s">
        <v>17</v>
      </c>
      <c r="CT172" s="25"/>
      <c r="CU172" s="26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P172" s="14"/>
      <c r="DQ172" s="14"/>
      <c r="DR172" s="14"/>
      <c r="DS172" s="14"/>
      <c r="DT172" s="14"/>
      <c r="DU172" s="14"/>
      <c r="DV172" s="14"/>
      <c r="DW172" s="14"/>
      <c r="DX172" s="14"/>
      <c r="DY172" s="14"/>
      <c r="DZ172" s="14"/>
      <c r="EA172" s="14"/>
      <c r="EB172" s="14"/>
      <c r="EC172" s="14"/>
      <c r="ED172" s="14"/>
      <c r="EE172" s="14"/>
      <c r="EF172" s="14"/>
      <c r="EG172" s="14"/>
      <c r="EH172" s="14"/>
      <c r="EI172" s="14"/>
      <c r="EJ172" s="14"/>
      <c r="EK172" s="14"/>
      <c r="EL172" s="14"/>
      <c r="EM172" s="14"/>
      <c r="EN172" s="14"/>
      <c r="EO172" s="14"/>
      <c r="EP172" s="14"/>
      <c r="EQ172" s="14"/>
      <c r="ER172" s="14"/>
      <c r="ES172" s="14"/>
      <c r="ET172" s="14"/>
      <c r="EU172" s="14"/>
      <c r="EV172" s="14"/>
      <c r="EW172" s="14"/>
      <c r="EX172" s="14"/>
    </row>
    <row r="173" spans="1:154" ht="15.75" customHeight="1" thickBot="1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CC173" s="1"/>
      <c r="CD173" s="1"/>
      <c r="CE173" s="1"/>
      <c r="CF173" s="21"/>
      <c r="CG173" s="22"/>
      <c r="CH173" s="22"/>
      <c r="CI173" s="22"/>
      <c r="CJ173" s="22"/>
      <c r="CK173" s="22"/>
      <c r="CL173" s="22"/>
      <c r="CM173" s="21"/>
      <c r="CN173" s="22"/>
      <c r="CO173" s="22"/>
      <c r="CP173" s="22"/>
      <c r="CQ173" s="22"/>
      <c r="CR173" s="23"/>
      <c r="CS173" s="29" t="s">
        <v>27</v>
      </c>
      <c r="CT173" s="22"/>
      <c r="CU173" s="23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P173" s="14"/>
      <c r="DQ173" s="14"/>
      <c r="DR173" s="14"/>
      <c r="DS173" s="14"/>
      <c r="DT173" s="14"/>
      <c r="DU173" s="14"/>
      <c r="DV173" s="14"/>
      <c r="DW173" s="14"/>
      <c r="DX173" s="14"/>
      <c r="DY173" s="14"/>
      <c r="DZ173" s="14"/>
      <c r="EA173" s="14"/>
      <c r="EB173" s="14"/>
      <c r="EC173" s="14"/>
      <c r="ED173" s="14"/>
      <c r="EE173" s="14"/>
      <c r="EF173" s="14"/>
      <c r="EG173" s="14"/>
      <c r="EH173" s="14"/>
      <c r="EI173" s="14"/>
      <c r="EJ173" s="14"/>
      <c r="EK173" s="14"/>
      <c r="EL173" s="14"/>
      <c r="EM173" s="14"/>
      <c r="EN173" s="14"/>
      <c r="EO173" s="14"/>
      <c r="EP173" s="14"/>
      <c r="EQ173" s="14"/>
      <c r="ER173" s="14"/>
      <c r="ES173" s="14"/>
      <c r="ET173" s="14"/>
      <c r="EU173" s="14"/>
      <c r="EV173" s="14"/>
      <c r="EW173" s="14"/>
      <c r="EX173" s="14"/>
    </row>
    <row r="174" spans="1:154" ht="15.75" customHeight="1" thickBot="1" x14ac:dyDescent="0.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CB174" s="4" t="s">
        <v>38</v>
      </c>
      <c r="CC174" s="4">
        <f>COUNTA(CC176:CC190)</f>
        <v>0</v>
      </c>
      <c r="CM174" s="1"/>
      <c r="CN174" s="1"/>
      <c r="CO174" s="1"/>
      <c r="CP174" s="1"/>
      <c r="CQ174" s="1"/>
      <c r="CR174" s="1"/>
      <c r="DP174" s="14"/>
      <c r="DQ174" s="14"/>
      <c r="DR174" s="14"/>
      <c r="DS174" s="14"/>
      <c r="DT174" s="14"/>
      <c r="DU174" s="14"/>
      <c r="DV174" s="14"/>
      <c r="DW174" s="14"/>
      <c r="DX174" s="14"/>
      <c r="DY174" s="14"/>
      <c r="DZ174" s="14"/>
      <c r="EA174" s="14"/>
      <c r="EB174" s="14"/>
      <c r="EC174" s="14"/>
      <c r="ED174" s="14"/>
      <c r="EE174" s="14"/>
      <c r="EF174" s="14"/>
      <c r="EG174" s="14"/>
      <c r="EH174" s="14"/>
      <c r="EI174" s="14"/>
      <c r="EJ174" s="14"/>
      <c r="EK174" s="14"/>
      <c r="EL174" s="14"/>
      <c r="EM174" s="14"/>
      <c r="EN174" s="14"/>
      <c r="EO174" s="14"/>
      <c r="EP174" s="14"/>
      <c r="EQ174" s="14"/>
      <c r="ER174" s="14"/>
      <c r="ES174" s="14"/>
      <c r="ET174" s="14"/>
      <c r="EU174" s="14"/>
      <c r="EV174" s="14"/>
      <c r="EW174" s="14"/>
      <c r="EX174" s="14"/>
    </row>
    <row r="175" spans="1:154" ht="15.75" customHeight="1" thickBot="1" x14ac:dyDescent="0.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CB175" s="37" t="s">
        <v>39</v>
      </c>
      <c r="CC175" s="38" t="s">
        <v>40</v>
      </c>
      <c r="CD175" s="39">
        <v>46281</v>
      </c>
      <c r="CE175" s="39">
        <v>46288</v>
      </c>
      <c r="CF175" s="39">
        <v>46295</v>
      </c>
      <c r="CG175" s="39">
        <v>46302</v>
      </c>
      <c r="CH175" s="40">
        <v>46309</v>
      </c>
      <c r="CI175" s="41">
        <v>46330</v>
      </c>
      <c r="CJ175" s="80">
        <v>46337</v>
      </c>
      <c r="CK175" s="39">
        <v>46344</v>
      </c>
      <c r="CL175" s="39">
        <v>46351</v>
      </c>
      <c r="CM175" s="39">
        <v>46358</v>
      </c>
      <c r="CN175" s="39">
        <v>46365</v>
      </c>
      <c r="CO175" s="40">
        <v>46372</v>
      </c>
      <c r="CP175" s="41">
        <v>46393</v>
      </c>
      <c r="CQ175" s="41">
        <v>46400</v>
      </c>
      <c r="CR175" s="39">
        <v>46407</v>
      </c>
      <c r="CS175" s="39">
        <v>46414</v>
      </c>
      <c r="CT175" s="39">
        <v>46421</v>
      </c>
      <c r="CU175" s="40">
        <v>46428</v>
      </c>
      <c r="CV175" s="41">
        <v>46449</v>
      </c>
      <c r="CW175" s="41">
        <v>46456</v>
      </c>
      <c r="CX175" s="39">
        <v>46463</v>
      </c>
      <c r="CY175" s="42">
        <v>46470</v>
      </c>
      <c r="CZ175" s="42">
        <v>46477</v>
      </c>
      <c r="DA175" s="40">
        <v>46484</v>
      </c>
      <c r="DB175" s="41">
        <v>46505</v>
      </c>
      <c r="DC175" s="41">
        <v>46512</v>
      </c>
      <c r="DD175" s="39">
        <v>46519</v>
      </c>
      <c r="DE175" s="39">
        <v>46526</v>
      </c>
      <c r="DF175" s="39">
        <v>46533</v>
      </c>
      <c r="DG175" s="39">
        <v>46540</v>
      </c>
      <c r="DH175" s="39">
        <v>46547</v>
      </c>
      <c r="DI175" s="39">
        <v>46554</v>
      </c>
      <c r="DJ175" s="44">
        <v>46561</v>
      </c>
      <c r="DP175" s="14"/>
      <c r="DQ175" s="14"/>
      <c r="DR175" s="14"/>
      <c r="DS175" s="14"/>
      <c r="DT175" s="14"/>
      <c r="DU175" s="14"/>
      <c r="DV175" s="14"/>
      <c r="DW175" s="14"/>
      <c r="DX175" s="14"/>
      <c r="DY175" s="14"/>
      <c r="DZ175" s="14"/>
      <c r="EA175" s="14"/>
      <c r="EB175" s="14"/>
      <c r="EC175" s="14"/>
      <c r="ED175" s="14"/>
      <c r="EE175" s="14"/>
      <c r="EF175" s="14"/>
      <c r="EG175" s="14"/>
      <c r="EH175" s="14"/>
      <c r="EI175" s="14"/>
      <c r="EJ175" s="14"/>
      <c r="EK175" s="14"/>
      <c r="EL175" s="14"/>
      <c r="EM175" s="14"/>
      <c r="EN175" s="14"/>
      <c r="EO175" s="14"/>
      <c r="EP175" s="14"/>
      <c r="EQ175" s="14"/>
      <c r="ER175" s="14"/>
      <c r="ES175" s="14"/>
      <c r="ET175" s="14"/>
      <c r="EU175" s="14"/>
      <c r="EV175" s="14"/>
      <c r="EW175" s="14"/>
      <c r="EX175" s="14"/>
    </row>
    <row r="176" spans="1:154" ht="15.75" customHeight="1" thickTop="1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CB176" s="47"/>
      <c r="CC176" s="12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48"/>
      <c r="DP176" s="14"/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4"/>
      <c r="EB176" s="14"/>
      <c r="EC176" s="14"/>
      <c r="ED176" s="14"/>
      <c r="EE176" s="14"/>
      <c r="EF176" s="14"/>
      <c r="EG176" s="14"/>
      <c r="EH176" s="14"/>
      <c r="EI176" s="14"/>
      <c r="EJ176" s="14"/>
      <c r="EK176" s="14"/>
      <c r="EL176" s="14"/>
      <c r="EM176" s="14"/>
      <c r="EN176" s="14"/>
      <c r="EO176" s="14"/>
      <c r="EP176" s="14"/>
      <c r="EQ176" s="14"/>
      <c r="ER176" s="14"/>
      <c r="ES176" s="14"/>
      <c r="ET176" s="14"/>
      <c r="EU176" s="14"/>
      <c r="EV176" s="14"/>
      <c r="EW176" s="14"/>
      <c r="EX176" s="14"/>
    </row>
    <row r="177" spans="1:154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CB177" s="45"/>
      <c r="CC177" s="10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46"/>
      <c r="DP177" s="14"/>
      <c r="DQ177" s="14"/>
      <c r="DR177" s="14"/>
      <c r="DS177" s="14"/>
      <c r="DT177" s="14"/>
      <c r="DU177" s="14"/>
      <c r="DV177" s="14"/>
      <c r="DW177" s="14"/>
      <c r="DX177" s="14"/>
      <c r="DY177" s="14"/>
      <c r="DZ177" s="14"/>
      <c r="EA177" s="14"/>
      <c r="EB177" s="14"/>
      <c r="EC177" s="14"/>
      <c r="ED177" s="14"/>
      <c r="EE177" s="14"/>
      <c r="EF177" s="14"/>
      <c r="EG177" s="14"/>
      <c r="EH177" s="14"/>
      <c r="EI177" s="14"/>
      <c r="EJ177" s="14"/>
      <c r="EK177" s="14"/>
      <c r="EL177" s="14"/>
      <c r="EM177" s="14"/>
      <c r="EN177" s="14"/>
      <c r="EO177" s="14"/>
      <c r="EP177" s="14"/>
      <c r="EQ177" s="14"/>
      <c r="ER177" s="14"/>
      <c r="ES177" s="14"/>
      <c r="ET177" s="14"/>
      <c r="EU177" s="14"/>
      <c r="EV177" s="14"/>
      <c r="EW177" s="14"/>
      <c r="EX177" s="14"/>
    </row>
    <row r="178" spans="1:154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CB178" s="47"/>
      <c r="CC178" s="12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48"/>
      <c r="DP178" s="14"/>
      <c r="DQ178" s="14"/>
      <c r="DR178" s="14"/>
      <c r="DS178" s="14"/>
      <c r="DT178" s="14"/>
      <c r="DU178" s="14"/>
      <c r="DV178" s="14"/>
      <c r="DW178" s="14"/>
      <c r="DX178" s="14"/>
      <c r="DY178" s="14"/>
      <c r="DZ178" s="14"/>
      <c r="EA178" s="14"/>
      <c r="EB178" s="14"/>
      <c r="EC178" s="14"/>
      <c r="ED178" s="14"/>
      <c r="EE178" s="14"/>
      <c r="EF178" s="14"/>
      <c r="EG178" s="14"/>
      <c r="EH178" s="14"/>
      <c r="EI178" s="14"/>
      <c r="EJ178" s="14"/>
      <c r="EK178" s="14"/>
      <c r="EL178" s="14"/>
      <c r="EM178" s="14"/>
      <c r="EN178" s="14"/>
      <c r="EO178" s="14"/>
      <c r="EP178" s="14"/>
      <c r="EQ178" s="14"/>
      <c r="ER178" s="14"/>
      <c r="ES178" s="14"/>
      <c r="ET178" s="14"/>
      <c r="EU178" s="14"/>
      <c r="EV178" s="14"/>
      <c r="EW178" s="14"/>
      <c r="EX178" s="14"/>
    </row>
    <row r="179" spans="1:154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CB179" s="45"/>
      <c r="CC179" s="10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46"/>
      <c r="DP179" s="14"/>
      <c r="DQ179" s="14"/>
      <c r="DR179" s="14"/>
      <c r="DS179" s="14"/>
      <c r="DT179" s="14"/>
      <c r="DU179" s="14"/>
      <c r="DV179" s="14"/>
      <c r="DW179" s="14"/>
      <c r="DX179" s="14"/>
      <c r="DY179" s="14"/>
      <c r="DZ179" s="14"/>
      <c r="EA179" s="14"/>
      <c r="EB179" s="14"/>
      <c r="EC179" s="14"/>
      <c r="ED179" s="14"/>
      <c r="EE179" s="14"/>
      <c r="EF179" s="14"/>
      <c r="EG179" s="14"/>
      <c r="EH179" s="14"/>
      <c r="EI179" s="14"/>
      <c r="EJ179" s="14"/>
      <c r="EK179" s="14"/>
      <c r="EL179" s="14"/>
      <c r="EM179" s="14"/>
      <c r="EN179" s="14"/>
      <c r="EO179" s="14"/>
      <c r="EP179" s="14"/>
      <c r="EQ179" s="14"/>
      <c r="ER179" s="14"/>
      <c r="ES179" s="14"/>
      <c r="ET179" s="14"/>
      <c r="EU179" s="14"/>
      <c r="EV179" s="14"/>
      <c r="EW179" s="14"/>
      <c r="EX179" s="14"/>
    </row>
    <row r="180" spans="1:154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CB180" s="47"/>
      <c r="CC180" s="12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48"/>
      <c r="DP180" s="14"/>
      <c r="DQ180" s="14"/>
      <c r="DR180" s="14"/>
      <c r="DS180" s="14"/>
      <c r="DT180" s="14"/>
      <c r="DU180" s="14"/>
      <c r="DV180" s="14"/>
      <c r="DW180" s="14"/>
      <c r="DX180" s="14"/>
      <c r="DY180" s="14"/>
      <c r="DZ180" s="14"/>
      <c r="EA180" s="14"/>
      <c r="EB180" s="14"/>
      <c r="EC180" s="14"/>
      <c r="ED180" s="14"/>
      <c r="EE180" s="14"/>
      <c r="EF180" s="14"/>
      <c r="EG180" s="14"/>
      <c r="EH180" s="14"/>
      <c r="EI180" s="14"/>
      <c r="EJ180" s="14"/>
      <c r="EK180" s="14"/>
      <c r="EL180" s="14"/>
      <c r="EM180" s="14"/>
      <c r="EN180" s="14"/>
      <c r="EO180" s="14"/>
      <c r="EP180" s="14"/>
      <c r="EQ180" s="14"/>
      <c r="ER180" s="14"/>
      <c r="ES180" s="14"/>
      <c r="ET180" s="14"/>
      <c r="EU180" s="14"/>
      <c r="EV180" s="14"/>
      <c r="EW180" s="14"/>
      <c r="EX180" s="14"/>
    </row>
    <row r="181" spans="1:154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CB181" s="45"/>
      <c r="CC181" s="10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46"/>
      <c r="DP181" s="14"/>
      <c r="DQ181" s="14"/>
      <c r="DR181" s="14"/>
      <c r="DS181" s="14"/>
      <c r="DT181" s="14"/>
      <c r="DU181" s="14"/>
      <c r="DV181" s="14"/>
      <c r="DW181" s="14"/>
      <c r="DX181" s="14"/>
      <c r="DY181" s="14"/>
      <c r="DZ181" s="14"/>
      <c r="EA181" s="14"/>
      <c r="EB181" s="14"/>
      <c r="EC181" s="14"/>
      <c r="ED181" s="14"/>
      <c r="EE181" s="14"/>
      <c r="EF181" s="14"/>
      <c r="EG181" s="14"/>
      <c r="EH181" s="14"/>
      <c r="EI181" s="14"/>
      <c r="EJ181" s="14"/>
      <c r="EK181" s="14"/>
      <c r="EL181" s="14"/>
      <c r="EM181" s="14"/>
      <c r="EN181" s="14"/>
      <c r="EO181" s="14"/>
      <c r="EP181" s="14"/>
      <c r="EQ181" s="14"/>
      <c r="ER181" s="14"/>
      <c r="ES181" s="14"/>
      <c r="ET181" s="14"/>
      <c r="EU181" s="14"/>
      <c r="EV181" s="14"/>
      <c r="EW181" s="14"/>
      <c r="EX181" s="14"/>
    </row>
    <row r="182" spans="1:154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CB182" s="47"/>
      <c r="CC182" s="12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48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4"/>
      <c r="EJ182" s="14"/>
      <c r="EK182" s="14"/>
      <c r="EL182" s="14"/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</row>
    <row r="183" spans="1:154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CB183" s="45"/>
      <c r="CC183" s="10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46"/>
      <c r="DP183" s="14"/>
      <c r="DQ183" s="14"/>
      <c r="DR183" s="14"/>
      <c r="DS183" s="14"/>
      <c r="DT183" s="14"/>
      <c r="DU183" s="14"/>
      <c r="DV183" s="14"/>
      <c r="DW183" s="14"/>
      <c r="DX183" s="14"/>
      <c r="DY183" s="14"/>
      <c r="DZ183" s="14"/>
      <c r="EA183" s="14"/>
      <c r="EB183" s="14"/>
      <c r="EC183" s="14"/>
      <c r="ED183" s="14"/>
      <c r="EE183" s="14"/>
      <c r="EF183" s="14"/>
      <c r="EG183" s="14"/>
      <c r="EH183" s="14"/>
      <c r="EI183" s="14"/>
      <c r="EJ183" s="14"/>
      <c r="EK183" s="14"/>
      <c r="EL183" s="14"/>
      <c r="EM183" s="14"/>
      <c r="EN183" s="14"/>
      <c r="EO183" s="14"/>
      <c r="EP183" s="14"/>
      <c r="EQ183" s="14"/>
      <c r="ER183" s="14"/>
      <c r="ES183" s="14"/>
      <c r="ET183" s="14"/>
      <c r="EU183" s="14"/>
      <c r="EV183" s="14"/>
      <c r="EW183" s="14"/>
      <c r="EX183" s="14"/>
    </row>
    <row r="184" spans="1:154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CB184" s="47"/>
      <c r="CC184" s="12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48"/>
      <c r="DP184" s="14"/>
      <c r="DQ184" s="14"/>
      <c r="DR184" s="14"/>
      <c r="DS184" s="14"/>
      <c r="DT184" s="14"/>
      <c r="DU184" s="14"/>
      <c r="DV184" s="14"/>
      <c r="DW184" s="14"/>
      <c r="DX184" s="14"/>
      <c r="DY184" s="14"/>
      <c r="DZ184" s="14"/>
      <c r="EA184" s="14"/>
      <c r="EB184" s="14"/>
      <c r="EC184" s="14"/>
      <c r="ED184" s="14"/>
      <c r="EE184" s="14"/>
      <c r="EF184" s="14"/>
      <c r="EG184" s="14"/>
      <c r="EH184" s="14"/>
      <c r="EI184" s="14"/>
      <c r="EJ184" s="14"/>
      <c r="EK184" s="14"/>
      <c r="EL184" s="14"/>
      <c r="EM184" s="14"/>
      <c r="EN184" s="14"/>
      <c r="EO184" s="14"/>
      <c r="EP184" s="14"/>
      <c r="EQ184" s="14"/>
      <c r="ER184" s="14"/>
      <c r="ES184" s="14"/>
      <c r="ET184" s="14"/>
      <c r="EU184" s="14"/>
      <c r="EV184" s="14"/>
      <c r="EW184" s="14"/>
      <c r="EX184" s="14"/>
    </row>
    <row r="185" spans="1:154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CB185" s="45"/>
      <c r="CC185" s="10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46"/>
      <c r="DP185" s="14"/>
      <c r="DQ185" s="14"/>
      <c r="DR185" s="14"/>
      <c r="DS185" s="14"/>
      <c r="DT185" s="14"/>
      <c r="DU185" s="14"/>
      <c r="DV185" s="14"/>
      <c r="DW185" s="14"/>
      <c r="DX185" s="14"/>
      <c r="DY185" s="14"/>
      <c r="DZ185" s="14"/>
      <c r="EA185" s="14"/>
      <c r="EB185" s="14"/>
      <c r="EC185" s="14"/>
      <c r="ED185" s="14"/>
      <c r="EE185" s="14"/>
      <c r="EF185" s="14"/>
      <c r="EG185" s="14"/>
      <c r="EH185" s="14"/>
      <c r="EI185" s="14"/>
      <c r="EJ185" s="14"/>
      <c r="EK185" s="14"/>
      <c r="EL185" s="14"/>
      <c r="EM185" s="14"/>
      <c r="EN185" s="14"/>
      <c r="EO185" s="14"/>
      <c r="EP185" s="14"/>
      <c r="EQ185" s="14"/>
      <c r="ER185" s="14"/>
      <c r="ES185" s="14"/>
      <c r="ET185" s="14"/>
      <c r="EU185" s="14"/>
      <c r="EV185" s="14"/>
      <c r="EW185" s="14"/>
      <c r="EX185" s="14"/>
    </row>
    <row r="186" spans="1:154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CB186" s="47"/>
      <c r="CC186" s="12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48"/>
      <c r="DP186" s="14"/>
      <c r="DQ186" s="14"/>
      <c r="DR186" s="14"/>
      <c r="DS186" s="14"/>
      <c r="DT186" s="14"/>
      <c r="DU186" s="14"/>
      <c r="DV186" s="14"/>
      <c r="DW186" s="14"/>
      <c r="DX186" s="14"/>
      <c r="DY186" s="14"/>
      <c r="DZ186" s="14"/>
      <c r="EA186" s="14"/>
      <c r="EB186" s="14"/>
      <c r="EC186" s="14"/>
      <c r="ED186" s="14"/>
      <c r="EE186" s="14"/>
      <c r="EF186" s="14"/>
      <c r="EG186" s="14"/>
      <c r="EH186" s="14"/>
      <c r="EI186" s="14"/>
      <c r="EJ186" s="14"/>
      <c r="EK186" s="14"/>
      <c r="EL186" s="14"/>
      <c r="EM186" s="14"/>
      <c r="EN186" s="14"/>
      <c r="EO186" s="14"/>
      <c r="EP186" s="14"/>
      <c r="EQ186" s="14"/>
      <c r="ER186" s="14"/>
      <c r="ES186" s="14"/>
      <c r="ET186" s="14"/>
      <c r="EU186" s="14"/>
      <c r="EV186" s="14"/>
      <c r="EW186" s="14"/>
      <c r="EX186" s="14"/>
    </row>
    <row r="187" spans="1:154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CB187" s="45"/>
      <c r="CC187" s="10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46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  <c r="EM187" s="14"/>
      <c r="EN187" s="14"/>
      <c r="EO187" s="14"/>
      <c r="EP187" s="14"/>
      <c r="EQ187" s="14"/>
      <c r="ER187" s="14"/>
      <c r="ES187" s="14"/>
      <c r="ET187" s="14"/>
      <c r="EU187" s="14"/>
      <c r="EV187" s="14"/>
      <c r="EW187" s="14"/>
      <c r="EX187" s="14"/>
    </row>
    <row r="188" spans="1:154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CB188" s="47"/>
      <c r="CC188" s="12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48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  <c r="EM188" s="14"/>
      <c r="EN188" s="14"/>
      <c r="EO188" s="14"/>
      <c r="EP188" s="14"/>
      <c r="EQ188" s="14"/>
      <c r="ER188" s="14"/>
      <c r="ES188" s="14"/>
      <c r="ET188" s="14"/>
      <c r="EU188" s="14"/>
      <c r="EV188" s="14"/>
      <c r="EW188" s="14"/>
      <c r="EX188" s="14"/>
    </row>
    <row r="189" spans="1:154" ht="15.75" customHeight="1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CB189" s="45"/>
      <c r="CC189" s="10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46"/>
      <c r="DP189" s="14"/>
      <c r="DQ189" s="14"/>
      <c r="DR189" s="14"/>
      <c r="DS189" s="14"/>
      <c r="DT189" s="14"/>
      <c r="DU189" s="14"/>
      <c r="DV189" s="14"/>
      <c r="DW189" s="14"/>
      <c r="DX189" s="14"/>
      <c r="DY189" s="14"/>
      <c r="DZ189" s="14"/>
      <c r="EA189" s="14"/>
      <c r="EB189" s="14"/>
      <c r="EC189" s="14"/>
      <c r="ED189" s="14"/>
      <c r="EE189" s="14"/>
      <c r="EF189" s="14"/>
      <c r="EG189" s="14"/>
      <c r="EH189" s="14"/>
      <c r="EI189" s="14"/>
      <c r="EJ189" s="14"/>
      <c r="EK189" s="14"/>
      <c r="EL189" s="14"/>
      <c r="EM189" s="14"/>
      <c r="EN189" s="14"/>
      <c r="EO189" s="14"/>
      <c r="EP189" s="14"/>
      <c r="EQ189" s="14"/>
      <c r="ER189" s="14"/>
      <c r="ES189" s="14"/>
      <c r="ET189" s="14"/>
      <c r="EU189" s="14"/>
      <c r="EV189" s="14"/>
      <c r="EW189" s="14"/>
      <c r="EX189" s="14"/>
    </row>
    <row r="190" spans="1:154" ht="15.75" thickBot="1" x14ac:dyDescent="0.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CB190" s="74"/>
      <c r="CC190" s="75"/>
      <c r="CD190" s="76"/>
      <c r="CE190" s="76"/>
      <c r="CF190" s="76"/>
      <c r="CG190" s="76"/>
      <c r="CH190" s="76"/>
      <c r="CI190" s="76"/>
      <c r="CJ190" s="76"/>
      <c r="CK190" s="76"/>
      <c r="CL190" s="76"/>
      <c r="CM190" s="76"/>
      <c r="CN190" s="76"/>
      <c r="CO190" s="76"/>
      <c r="CP190" s="76"/>
      <c r="CQ190" s="76"/>
      <c r="CR190" s="76"/>
      <c r="CS190" s="76"/>
      <c r="CT190" s="76"/>
      <c r="CU190" s="76"/>
      <c r="CV190" s="76"/>
      <c r="CW190" s="76"/>
      <c r="CX190" s="76"/>
      <c r="CY190" s="76"/>
      <c r="CZ190" s="76"/>
      <c r="DA190" s="76"/>
      <c r="DB190" s="76"/>
      <c r="DC190" s="76"/>
      <c r="DD190" s="76"/>
      <c r="DE190" s="76"/>
      <c r="DF190" s="76"/>
      <c r="DG190" s="76"/>
      <c r="DH190" s="76"/>
      <c r="DI190" s="76"/>
      <c r="DJ190" s="77"/>
      <c r="DP190" s="14"/>
      <c r="DQ190" s="14"/>
      <c r="DR190" s="14"/>
      <c r="DS190" s="14"/>
      <c r="DT190" s="14"/>
      <c r="DU190" s="14"/>
      <c r="DV190" s="14"/>
      <c r="DW190" s="14"/>
      <c r="DX190" s="14"/>
      <c r="DY190" s="14"/>
      <c r="DZ190" s="14"/>
      <c r="EA190" s="14"/>
      <c r="EB190" s="14"/>
      <c r="EC190" s="14"/>
      <c r="ED190" s="14"/>
      <c r="EE190" s="14"/>
      <c r="EF190" s="14"/>
      <c r="EG190" s="14"/>
      <c r="EH190" s="14"/>
      <c r="EI190" s="14"/>
      <c r="EJ190" s="14"/>
      <c r="EK190" s="14"/>
      <c r="EL190" s="14"/>
      <c r="EM190" s="14"/>
      <c r="EN190" s="14"/>
      <c r="EO190" s="14"/>
      <c r="EP190" s="14"/>
      <c r="EQ190" s="14"/>
      <c r="ER190" s="14"/>
      <c r="ES190" s="14"/>
      <c r="ET190" s="14"/>
      <c r="EU190" s="14"/>
      <c r="EV190" s="14"/>
      <c r="EW190" s="14"/>
      <c r="EX190" s="14"/>
    </row>
    <row r="191" spans="1:154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CB191" s="15"/>
      <c r="CC191" s="15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4"/>
      <c r="DF191" s="14"/>
      <c r="DG191" s="14"/>
      <c r="DH191" s="14"/>
      <c r="DI191" s="14"/>
      <c r="DJ191" s="14"/>
      <c r="DP191" s="14"/>
      <c r="DQ191" s="14"/>
      <c r="DR191" s="14"/>
      <c r="DS191" s="14"/>
      <c r="DT191" s="14"/>
      <c r="DU191" s="14"/>
      <c r="DV191" s="14"/>
      <c r="DW191" s="14"/>
      <c r="DX191" s="14"/>
      <c r="DY191" s="14"/>
      <c r="DZ191" s="14"/>
      <c r="EA191" s="14"/>
      <c r="EB191" s="14"/>
      <c r="EC191" s="14"/>
      <c r="ED191" s="14"/>
      <c r="EE191" s="14"/>
      <c r="EF191" s="14"/>
      <c r="EG191" s="14"/>
      <c r="EH191" s="14"/>
      <c r="EI191" s="14"/>
      <c r="EJ191" s="14"/>
      <c r="EK191" s="14"/>
      <c r="EL191" s="14"/>
      <c r="EM191" s="14"/>
      <c r="EN191" s="14"/>
      <c r="EO191" s="14"/>
      <c r="EP191" s="14"/>
      <c r="EQ191" s="14"/>
      <c r="ER191" s="14"/>
      <c r="ES191" s="14"/>
      <c r="ET191" s="14"/>
      <c r="EU191" s="14"/>
      <c r="EV191" s="14"/>
      <c r="EW191" s="14"/>
      <c r="EX191" s="14"/>
    </row>
    <row r="192" spans="1:154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4"/>
      <c r="DF192" s="14"/>
      <c r="DG192" s="14"/>
      <c r="DH192" s="14"/>
      <c r="DI192" s="14"/>
      <c r="DJ192" s="14"/>
      <c r="DP192" s="14"/>
      <c r="DQ192" s="14"/>
      <c r="DR192" s="14"/>
      <c r="DS192" s="14"/>
      <c r="DT192" s="14"/>
      <c r="DU192" s="14"/>
      <c r="DV192" s="14"/>
      <c r="DW192" s="14"/>
      <c r="DX192" s="14"/>
      <c r="DY192" s="14"/>
      <c r="DZ192" s="14"/>
      <c r="EA192" s="14"/>
      <c r="EB192" s="14"/>
      <c r="EC192" s="14"/>
      <c r="ED192" s="14"/>
      <c r="EE192" s="14"/>
      <c r="EF192" s="14"/>
      <c r="EG192" s="14"/>
      <c r="EH192" s="14"/>
      <c r="EI192" s="14"/>
      <c r="EJ192" s="14"/>
      <c r="EK192" s="14"/>
      <c r="EL192" s="14"/>
      <c r="EM192" s="14"/>
      <c r="EN192" s="14"/>
      <c r="EO192" s="14"/>
      <c r="EP192" s="14"/>
      <c r="EQ192" s="14"/>
      <c r="ER192" s="14"/>
      <c r="ES192" s="14"/>
      <c r="ET192" s="14"/>
      <c r="EU192" s="14"/>
      <c r="EV192" s="14"/>
      <c r="EW192" s="14"/>
      <c r="EX192" s="14"/>
    </row>
    <row r="193" spans="1:154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4"/>
      <c r="DF193" s="14"/>
      <c r="DG193" s="14"/>
      <c r="DH193" s="14"/>
      <c r="DI193" s="14"/>
      <c r="DJ193" s="14"/>
      <c r="DP193" s="14"/>
      <c r="DQ193" s="14"/>
      <c r="DR193" s="14"/>
      <c r="DS193" s="14"/>
      <c r="DT193" s="14"/>
      <c r="DU193" s="14"/>
      <c r="DV193" s="14"/>
      <c r="DW193" s="14"/>
      <c r="DX193" s="14"/>
      <c r="DY193" s="14"/>
      <c r="DZ193" s="14"/>
      <c r="EA193" s="14"/>
      <c r="EB193" s="14"/>
      <c r="EC193" s="14"/>
      <c r="ED193" s="14"/>
      <c r="EE193" s="14"/>
      <c r="EF193" s="14"/>
      <c r="EG193" s="14"/>
      <c r="EH193" s="14"/>
      <c r="EI193" s="14"/>
      <c r="EJ193" s="14"/>
      <c r="EK193" s="14"/>
      <c r="EL193" s="14"/>
      <c r="EM193" s="14"/>
      <c r="EN193" s="14"/>
      <c r="EO193" s="14"/>
      <c r="EP193" s="14"/>
      <c r="EQ193" s="14"/>
      <c r="ER193" s="14"/>
      <c r="ES193" s="14"/>
      <c r="ET193" s="14"/>
      <c r="EU193" s="14"/>
      <c r="EV193" s="14"/>
      <c r="EW193" s="14"/>
      <c r="EX193" s="14"/>
    </row>
    <row r="194" spans="1:154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4"/>
      <c r="DE194" s="14"/>
      <c r="DF194" s="14"/>
      <c r="DG194" s="14"/>
      <c r="DH194" s="14"/>
      <c r="DI194" s="14"/>
      <c r="DJ194" s="14"/>
      <c r="DP194" s="14"/>
      <c r="DQ194" s="14"/>
      <c r="DR194" s="14"/>
      <c r="DS194" s="14"/>
      <c r="DT194" s="14"/>
      <c r="DU194" s="14"/>
      <c r="DV194" s="14"/>
      <c r="DW194" s="14"/>
      <c r="DX194" s="14"/>
      <c r="DY194" s="14"/>
      <c r="DZ194" s="14"/>
      <c r="EA194" s="14"/>
      <c r="EB194" s="14"/>
      <c r="EC194" s="14"/>
      <c r="ED194" s="14"/>
      <c r="EE194" s="14"/>
      <c r="EF194" s="14"/>
      <c r="EG194" s="14"/>
      <c r="EH194" s="14"/>
      <c r="EI194" s="14"/>
      <c r="EJ194" s="14"/>
      <c r="EK194" s="14"/>
      <c r="EL194" s="14"/>
      <c r="EM194" s="14"/>
      <c r="EN194" s="14"/>
      <c r="EO194" s="14"/>
      <c r="EP194" s="14"/>
      <c r="EQ194" s="14"/>
      <c r="ER194" s="14"/>
      <c r="ES194" s="14"/>
      <c r="ET194" s="14"/>
      <c r="EU194" s="14"/>
      <c r="EV194" s="14"/>
      <c r="EW194" s="14"/>
      <c r="EX194" s="14"/>
    </row>
    <row r="195" spans="1:154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4"/>
      <c r="DF195" s="14"/>
      <c r="DG195" s="14"/>
      <c r="DH195" s="14"/>
      <c r="DI195" s="14"/>
      <c r="DJ195" s="14"/>
      <c r="DP195" s="14"/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4"/>
      <c r="ED195" s="14"/>
      <c r="EE195" s="14"/>
      <c r="EF195" s="14"/>
      <c r="EG195" s="14"/>
      <c r="EH195" s="14"/>
      <c r="EI195" s="14"/>
      <c r="EJ195" s="14"/>
      <c r="EK195" s="14"/>
      <c r="EL195" s="14"/>
      <c r="EM195" s="14"/>
      <c r="EN195" s="14"/>
      <c r="EO195" s="14"/>
      <c r="EP195" s="14"/>
      <c r="EQ195" s="14"/>
      <c r="ER195" s="14"/>
      <c r="ES195" s="14"/>
      <c r="ET195" s="14"/>
      <c r="EU195" s="14"/>
      <c r="EV195" s="14"/>
      <c r="EW195" s="14"/>
      <c r="EX195" s="14"/>
    </row>
    <row r="196" spans="1:154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  <c r="DI196" s="14"/>
      <c r="DJ196" s="14"/>
      <c r="DP196" s="14"/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14"/>
      <c r="EH196" s="14"/>
      <c r="EI196" s="14"/>
      <c r="EJ196" s="14"/>
      <c r="EK196" s="14"/>
      <c r="EL196" s="14"/>
      <c r="EM196" s="14"/>
      <c r="EN196" s="14"/>
      <c r="EO196" s="14"/>
      <c r="EP196" s="14"/>
      <c r="EQ196" s="14"/>
      <c r="ER196" s="14"/>
      <c r="ES196" s="14"/>
      <c r="ET196" s="14"/>
      <c r="EU196" s="14"/>
      <c r="EV196" s="14"/>
      <c r="EW196" s="14"/>
      <c r="EX196" s="14"/>
    </row>
    <row r="197" spans="1:154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4"/>
      <c r="DF197" s="14"/>
      <c r="DG197" s="14"/>
      <c r="DH197" s="14"/>
      <c r="DI197" s="14"/>
      <c r="DJ197" s="14"/>
      <c r="DP197" s="14"/>
      <c r="DQ197" s="14"/>
      <c r="DR197" s="14"/>
      <c r="DS197" s="14"/>
      <c r="DT197" s="14"/>
      <c r="DU197" s="14"/>
      <c r="DV197" s="14"/>
      <c r="DW197" s="14"/>
      <c r="DX197" s="14"/>
      <c r="DY197" s="14"/>
      <c r="DZ197" s="14"/>
      <c r="EA197" s="14"/>
      <c r="EB197" s="14"/>
      <c r="EC197" s="14"/>
      <c r="ED197" s="14"/>
      <c r="EE197" s="14"/>
      <c r="EF197" s="14"/>
      <c r="EG197" s="14"/>
      <c r="EH197" s="14"/>
      <c r="EI197" s="14"/>
      <c r="EJ197" s="14"/>
      <c r="EK197" s="14"/>
      <c r="EL197" s="14"/>
      <c r="EM197" s="14"/>
      <c r="EN197" s="14"/>
      <c r="EO197" s="14"/>
      <c r="EP197" s="14"/>
      <c r="EQ197" s="14"/>
      <c r="ER197" s="14"/>
      <c r="ES197" s="14"/>
      <c r="ET197" s="14"/>
      <c r="EU197" s="14"/>
      <c r="EV197" s="14"/>
      <c r="EW197" s="14"/>
      <c r="EX197" s="14"/>
    </row>
    <row r="198" spans="1:154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4"/>
      <c r="DF198" s="14"/>
      <c r="DG198" s="14"/>
      <c r="DH198" s="14"/>
      <c r="DI198" s="14"/>
      <c r="DJ198" s="14"/>
      <c r="DP198" s="14"/>
      <c r="DQ198" s="14"/>
      <c r="DR198" s="14"/>
      <c r="DS198" s="14"/>
      <c r="DT198" s="14"/>
      <c r="DU198" s="14"/>
      <c r="DV198" s="14"/>
      <c r="DW198" s="14"/>
      <c r="DX198" s="14"/>
      <c r="DY198" s="14"/>
      <c r="DZ198" s="14"/>
      <c r="EA198" s="14"/>
      <c r="EB198" s="14"/>
      <c r="EC198" s="14"/>
      <c r="ED198" s="14"/>
      <c r="EE198" s="14"/>
      <c r="EF198" s="14"/>
      <c r="EG198" s="14"/>
      <c r="EH198" s="14"/>
      <c r="EI198" s="14"/>
      <c r="EJ198" s="14"/>
      <c r="EK198" s="14"/>
      <c r="EL198" s="14"/>
      <c r="EM198" s="14"/>
      <c r="EN198" s="14"/>
      <c r="EO198" s="14"/>
      <c r="EP198" s="14"/>
      <c r="EQ198" s="14"/>
      <c r="ER198" s="14"/>
      <c r="ES198" s="14"/>
      <c r="ET198" s="14"/>
      <c r="EU198" s="14"/>
      <c r="EV198" s="14"/>
      <c r="EW198" s="14"/>
      <c r="EX198" s="14"/>
    </row>
    <row r="199" spans="1:154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4"/>
      <c r="DF199" s="14"/>
      <c r="DG199" s="14"/>
      <c r="DH199" s="14"/>
      <c r="DI199" s="14"/>
      <c r="DJ199" s="14"/>
      <c r="DP199" s="14"/>
      <c r="DQ199" s="14"/>
      <c r="DR199" s="14"/>
      <c r="DS199" s="14"/>
      <c r="DT199" s="14"/>
      <c r="DU199" s="14"/>
      <c r="DV199" s="14"/>
      <c r="DW199" s="14"/>
      <c r="DX199" s="14"/>
      <c r="DY199" s="14"/>
      <c r="DZ199" s="14"/>
      <c r="EA199" s="14"/>
      <c r="EB199" s="14"/>
      <c r="EC199" s="14"/>
      <c r="ED199" s="14"/>
      <c r="EE199" s="14"/>
      <c r="EF199" s="14"/>
      <c r="EG199" s="14"/>
      <c r="EH199" s="14"/>
      <c r="EI199" s="14"/>
      <c r="EJ199" s="14"/>
      <c r="EK199" s="14"/>
      <c r="EL199" s="14"/>
      <c r="EM199" s="14"/>
      <c r="EN199" s="14"/>
      <c r="EO199" s="14"/>
      <c r="EP199" s="14"/>
      <c r="EQ199" s="14"/>
      <c r="ER199" s="14"/>
      <c r="ES199" s="14"/>
      <c r="ET199" s="14"/>
      <c r="EU199" s="14"/>
      <c r="EV199" s="14"/>
      <c r="EW199" s="14"/>
      <c r="EX199" s="14"/>
    </row>
    <row r="200" spans="1:154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  <c r="DF200" s="14"/>
      <c r="DG200" s="14"/>
      <c r="DH200" s="14"/>
      <c r="DI200" s="14"/>
      <c r="DJ200" s="14"/>
      <c r="DP200" s="14"/>
      <c r="DQ200" s="14"/>
      <c r="DR200" s="14"/>
      <c r="DS200" s="14"/>
      <c r="DT200" s="14"/>
      <c r="DU200" s="14"/>
      <c r="DV200" s="14"/>
      <c r="DW200" s="14"/>
      <c r="DX200" s="14"/>
      <c r="DY200" s="14"/>
      <c r="DZ200" s="14"/>
      <c r="EA200" s="14"/>
      <c r="EB200" s="14"/>
      <c r="EC200" s="14"/>
      <c r="ED200" s="14"/>
      <c r="EE200" s="14"/>
      <c r="EF200" s="14"/>
      <c r="EG200" s="14"/>
      <c r="EH200" s="14"/>
      <c r="EI200" s="14"/>
      <c r="EJ200" s="14"/>
      <c r="EK200" s="14"/>
      <c r="EL200" s="14"/>
      <c r="EM200" s="14"/>
      <c r="EN200" s="14"/>
      <c r="EO200" s="14"/>
      <c r="EP200" s="14"/>
      <c r="EQ200" s="14"/>
      <c r="ER200" s="14"/>
      <c r="ES200" s="14"/>
      <c r="ET200" s="14"/>
      <c r="EU200" s="14"/>
      <c r="EV200" s="14"/>
      <c r="EW200" s="14"/>
      <c r="EX200" s="14"/>
    </row>
    <row r="201" spans="1:154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4"/>
      <c r="DF201" s="14"/>
      <c r="DG201" s="14"/>
      <c r="DH201" s="14"/>
      <c r="DI201" s="14"/>
      <c r="DJ201" s="14"/>
      <c r="DP201" s="14"/>
      <c r="DQ201" s="14"/>
      <c r="DR201" s="14"/>
      <c r="DS201" s="14"/>
      <c r="DT201" s="14"/>
      <c r="DU201" s="14"/>
      <c r="DV201" s="14"/>
      <c r="DW201" s="14"/>
      <c r="DX201" s="14"/>
      <c r="DY201" s="14"/>
      <c r="DZ201" s="14"/>
      <c r="EA201" s="14"/>
      <c r="EB201" s="14"/>
      <c r="EC201" s="14"/>
      <c r="ED201" s="14"/>
      <c r="EE201" s="14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</row>
    <row r="202" spans="1:154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  <c r="DE202" s="14"/>
      <c r="DF202" s="14"/>
      <c r="DG202" s="14"/>
      <c r="DH202" s="14"/>
      <c r="DI202" s="14"/>
      <c r="DJ202" s="14"/>
      <c r="DP202" s="14"/>
      <c r="DQ202" s="14"/>
      <c r="DR202" s="14"/>
      <c r="DS202" s="14"/>
      <c r="DT202" s="14"/>
      <c r="DU202" s="14"/>
      <c r="DV202" s="14"/>
      <c r="DW202" s="14"/>
      <c r="DX202" s="14"/>
      <c r="DY202" s="14"/>
      <c r="DZ202" s="14"/>
      <c r="EA202" s="14"/>
      <c r="EB202" s="14"/>
      <c r="EC202" s="14"/>
      <c r="ED202" s="14"/>
      <c r="EE202" s="14"/>
      <c r="EF202" s="14"/>
      <c r="EG202" s="14"/>
      <c r="EH202" s="14"/>
      <c r="EI202" s="14"/>
      <c r="EJ202" s="14"/>
      <c r="EK202" s="14"/>
      <c r="EL202" s="14"/>
      <c r="EM202" s="14"/>
      <c r="EN202" s="14"/>
      <c r="EO202" s="14"/>
      <c r="EP202" s="14"/>
      <c r="EQ202" s="14"/>
      <c r="ER202" s="14"/>
      <c r="ES202" s="14"/>
      <c r="ET202" s="14"/>
      <c r="EU202" s="14"/>
      <c r="EV202" s="14"/>
      <c r="EW202" s="14"/>
      <c r="EX202" s="14"/>
    </row>
    <row r="203" spans="1:154" ht="15.75" customHeight="1" thickBot="1" x14ac:dyDescent="0.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DP203" s="14"/>
      <c r="DQ203" s="14"/>
      <c r="DR203" s="14"/>
      <c r="DS203" s="14"/>
      <c r="DT203" s="14"/>
      <c r="DU203" s="14"/>
      <c r="DV203" s="14"/>
      <c r="DW203" s="14"/>
      <c r="DX203" s="14"/>
      <c r="DY203" s="14"/>
      <c r="DZ203" s="14"/>
      <c r="EA203" s="14"/>
      <c r="EB203" s="14"/>
      <c r="EC203" s="14"/>
      <c r="ED203" s="14"/>
      <c r="EE203" s="14"/>
      <c r="EF203" s="14"/>
      <c r="EG203" s="14"/>
      <c r="EH203" s="14"/>
      <c r="EI203" s="14"/>
      <c r="EJ203" s="14"/>
      <c r="EK203" s="14"/>
      <c r="EL203" s="14"/>
      <c r="EM203" s="14"/>
      <c r="EN203" s="14"/>
      <c r="EO203" s="14"/>
      <c r="EP203" s="14"/>
      <c r="EQ203" s="14"/>
      <c r="ER203" s="14"/>
      <c r="ES203" s="14"/>
      <c r="ET203" s="14"/>
      <c r="EU203" s="14"/>
      <c r="EV203" s="14"/>
      <c r="EW203" s="14"/>
      <c r="EX203" s="14"/>
    </row>
    <row r="204" spans="1:154" ht="26.25" customHeight="1" thickBot="1" x14ac:dyDescent="0.3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CC204" s="1"/>
      <c r="CD204" s="1"/>
      <c r="CE204" s="1"/>
      <c r="CF204" s="24" t="s">
        <v>26</v>
      </c>
      <c r="CG204" s="19"/>
      <c r="CH204" s="19"/>
      <c r="CI204" s="19"/>
      <c r="CJ204" s="19"/>
      <c r="CK204" s="19"/>
      <c r="CL204" s="19"/>
      <c r="CM204" s="18" t="s">
        <v>46</v>
      </c>
      <c r="CN204" s="19"/>
      <c r="CO204" s="19"/>
      <c r="CP204" s="19"/>
      <c r="CQ204" s="19"/>
      <c r="CR204" s="20"/>
      <c r="CS204" s="18" t="s">
        <v>17</v>
      </c>
      <c r="CT204" s="25"/>
      <c r="CU204" s="26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P204" s="14"/>
      <c r="DQ204" s="14"/>
      <c r="DR204" s="14"/>
      <c r="DS204" s="14"/>
      <c r="DT204" s="14"/>
      <c r="DU204" s="14"/>
      <c r="DV204" s="14"/>
      <c r="DW204" s="14"/>
      <c r="DX204" s="14"/>
      <c r="DY204" s="14"/>
      <c r="DZ204" s="14"/>
      <c r="EA204" s="14"/>
      <c r="EB204" s="14"/>
      <c r="EC204" s="14"/>
      <c r="ED204" s="14"/>
      <c r="EE204" s="14"/>
      <c r="EF204" s="14"/>
      <c r="EG204" s="14"/>
      <c r="EH204" s="14"/>
      <c r="EI204" s="14"/>
      <c r="EJ204" s="14"/>
      <c r="EK204" s="14"/>
      <c r="EL204" s="14"/>
      <c r="EM204" s="14"/>
      <c r="EN204" s="14"/>
      <c r="EO204" s="14"/>
      <c r="EP204" s="14"/>
      <c r="EQ204" s="14"/>
      <c r="ER204" s="14"/>
      <c r="ES204" s="14"/>
      <c r="ET204" s="14"/>
      <c r="EU204" s="14"/>
      <c r="EV204" s="14"/>
      <c r="EW204" s="14"/>
      <c r="EX204" s="14"/>
    </row>
    <row r="205" spans="1:154" ht="15.75" customHeight="1" thickBot="1" x14ac:dyDescent="0.3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CB205" s="15" t="s">
        <v>38</v>
      </c>
      <c r="CC205" s="15">
        <f>COUNTA(CC207:CC224)</f>
        <v>0</v>
      </c>
      <c r="CD205" s="14"/>
      <c r="CE205" s="14"/>
      <c r="CF205" s="81"/>
      <c r="CG205" s="82"/>
      <c r="CH205" s="82"/>
      <c r="CI205" s="82"/>
      <c r="CJ205" s="82"/>
      <c r="CK205" s="82"/>
      <c r="CL205" s="82"/>
      <c r="CM205" s="81"/>
      <c r="CN205" s="82"/>
      <c r="CO205" s="82"/>
      <c r="CP205" s="82"/>
      <c r="CQ205" s="82"/>
      <c r="CR205" s="83"/>
      <c r="CS205" s="85" t="s">
        <v>25</v>
      </c>
      <c r="CT205" s="82"/>
      <c r="CU205" s="83"/>
      <c r="CV205" s="14"/>
      <c r="CW205" s="14"/>
      <c r="CX205" s="14"/>
      <c r="CY205" s="14"/>
      <c r="CZ205" s="14"/>
      <c r="DA205" s="14"/>
      <c r="DB205" s="14"/>
      <c r="DC205" s="14"/>
      <c r="DD205" s="14"/>
      <c r="DE205" s="14"/>
      <c r="DF205" s="14"/>
      <c r="DG205" s="14"/>
      <c r="DH205" s="14"/>
      <c r="DI205" s="14"/>
      <c r="DJ205" s="14"/>
      <c r="DP205" s="14"/>
      <c r="DQ205" s="14"/>
      <c r="DR205" s="14"/>
      <c r="DS205" s="14"/>
      <c r="DT205" s="14"/>
      <c r="DU205" s="14"/>
      <c r="DV205" s="14"/>
      <c r="DW205" s="14"/>
      <c r="DX205" s="14"/>
      <c r="DY205" s="14"/>
      <c r="DZ205" s="14"/>
      <c r="EA205" s="14"/>
      <c r="EB205" s="14"/>
      <c r="EC205" s="14"/>
      <c r="ED205" s="14"/>
      <c r="EE205" s="14"/>
      <c r="EF205" s="14"/>
      <c r="EG205" s="14"/>
      <c r="EH205" s="14"/>
      <c r="EI205" s="14"/>
      <c r="EJ205" s="14"/>
      <c r="EK205" s="14"/>
      <c r="EL205" s="14"/>
      <c r="EM205" s="14"/>
      <c r="EN205" s="14"/>
      <c r="EO205" s="14"/>
      <c r="EP205" s="14"/>
      <c r="EQ205" s="14"/>
      <c r="ER205" s="14"/>
      <c r="ES205" s="14"/>
      <c r="ET205" s="14"/>
      <c r="EU205" s="14"/>
      <c r="EV205" s="14"/>
      <c r="EW205" s="14"/>
      <c r="EX205" s="14"/>
    </row>
    <row r="206" spans="1:154" ht="15.7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CB206" s="87" t="s">
        <v>39</v>
      </c>
      <c r="CC206" s="88" t="s">
        <v>40</v>
      </c>
      <c r="CD206" s="89">
        <v>46281</v>
      </c>
      <c r="CE206" s="89">
        <v>46288</v>
      </c>
      <c r="CF206" s="89">
        <v>46295</v>
      </c>
      <c r="CG206" s="89">
        <v>46302</v>
      </c>
      <c r="CH206" s="90">
        <v>46309</v>
      </c>
      <c r="CI206" s="91">
        <v>46330</v>
      </c>
      <c r="CJ206" s="92">
        <v>46337</v>
      </c>
      <c r="CK206" s="89">
        <v>46344</v>
      </c>
      <c r="CL206" s="89">
        <v>46351</v>
      </c>
      <c r="CM206" s="89">
        <v>46358</v>
      </c>
      <c r="CN206" s="89">
        <v>46365</v>
      </c>
      <c r="CO206" s="90">
        <v>46372</v>
      </c>
      <c r="CP206" s="91">
        <v>46393</v>
      </c>
      <c r="CQ206" s="91">
        <v>46400</v>
      </c>
      <c r="CR206" s="89">
        <v>46407</v>
      </c>
      <c r="CS206" s="89">
        <v>46414</v>
      </c>
      <c r="CT206" s="89">
        <v>46421</v>
      </c>
      <c r="CU206" s="90">
        <v>46428</v>
      </c>
      <c r="CV206" s="91">
        <v>46449</v>
      </c>
      <c r="CW206" s="91">
        <v>46456</v>
      </c>
      <c r="CX206" s="89">
        <v>46463</v>
      </c>
      <c r="CY206" s="93">
        <v>46470</v>
      </c>
      <c r="CZ206" s="93">
        <v>46477</v>
      </c>
      <c r="DA206" s="90">
        <v>46484</v>
      </c>
      <c r="DB206" s="91">
        <v>46505</v>
      </c>
      <c r="DC206" s="91">
        <v>46512</v>
      </c>
      <c r="DD206" s="89">
        <v>46519</v>
      </c>
      <c r="DE206" s="89">
        <v>46526</v>
      </c>
      <c r="DF206" s="89">
        <v>46533</v>
      </c>
      <c r="DG206" s="89">
        <v>46540</v>
      </c>
      <c r="DH206" s="89">
        <v>46547</v>
      </c>
      <c r="DI206" s="89">
        <v>46554</v>
      </c>
      <c r="DJ206" s="94">
        <v>46561</v>
      </c>
      <c r="DP206" s="14"/>
      <c r="DQ206" s="14"/>
      <c r="DR206" s="14"/>
      <c r="DS206" s="14"/>
      <c r="DT206" s="14"/>
      <c r="DU206" s="14"/>
      <c r="DV206" s="14"/>
      <c r="DW206" s="14"/>
      <c r="DX206" s="14"/>
      <c r="DY206" s="14"/>
      <c r="DZ206" s="14"/>
      <c r="EA206" s="14"/>
      <c r="EB206" s="14"/>
      <c r="EC206" s="14"/>
      <c r="ED206" s="14"/>
      <c r="EE206" s="14"/>
      <c r="EF206" s="14"/>
      <c r="EG206" s="14"/>
      <c r="EH206" s="14"/>
      <c r="EI206" s="14"/>
      <c r="EJ206" s="14"/>
      <c r="EK206" s="14"/>
      <c r="EL206" s="14"/>
      <c r="EM206" s="14"/>
      <c r="EN206" s="14"/>
      <c r="EO206" s="14"/>
      <c r="EP206" s="14"/>
      <c r="EQ206" s="14"/>
      <c r="ER206" s="14"/>
      <c r="ES206" s="14"/>
      <c r="ET206" s="14"/>
      <c r="EU206" s="14"/>
      <c r="EV206" s="14"/>
      <c r="EW206" s="14"/>
      <c r="EX206" s="14"/>
    </row>
    <row r="207" spans="1:154" ht="15.7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CB207" s="45"/>
      <c r="CC207" s="10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46"/>
      <c r="DP207" s="14"/>
      <c r="DQ207" s="14"/>
      <c r="DR207" s="14"/>
      <c r="DS207" s="14"/>
      <c r="DT207" s="14"/>
      <c r="DU207" s="14"/>
      <c r="DV207" s="14"/>
      <c r="DW207" s="14"/>
      <c r="DX207" s="14"/>
      <c r="DY207" s="14"/>
      <c r="DZ207" s="14"/>
      <c r="EA207" s="14"/>
      <c r="EB207" s="14"/>
      <c r="EC207" s="14"/>
      <c r="ED207" s="14"/>
      <c r="EE207" s="14"/>
      <c r="EF207" s="14"/>
      <c r="EG207" s="14"/>
      <c r="EH207" s="14"/>
      <c r="EI207" s="14"/>
      <c r="EJ207" s="14"/>
      <c r="EK207" s="14"/>
      <c r="EL207" s="14"/>
      <c r="EM207" s="14"/>
      <c r="EN207" s="14"/>
      <c r="EO207" s="14"/>
      <c r="EP207" s="14"/>
      <c r="EQ207" s="14"/>
      <c r="ER207" s="14"/>
      <c r="ES207" s="14"/>
      <c r="ET207" s="14"/>
      <c r="EU207" s="14"/>
      <c r="EV207" s="14"/>
      <c r="EW207" s="14"/>
      <c r="EX207" s="14"/>
    </row>
    <row r="208" spans="1:154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CB208" s="47"/>
      <c r="CC208" s="12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48"/>
      <c r="DP208" s="14"/>
      <c r="DQ208" s="14"/>
      <c r="DR208" s="14"/>
      <c r="DS208" s="14"/>
      <c r="DT208" s="14"/>
      <c r="DU208" s="14"/>
      <c r="DV208" s="14"/>
      <c r="DW208" s="14"/>
      <c r="DX208" s="14"/>
      <c r="DY208" s="14"/>
      <c r="DZ208" s="14"/>
      <c r="EA208" s="14"/>
      <c r="EB208" s="14"/>
      <c r="EC208" s="14"/>
      <c r="ED208" s="14"/>
      <c r="EE208" s="14"/>
      <c r="EF208" s="14"/>
      <c r="EG208" s="14"/>
      <c r="EH208" s="14"/>
      <c r="EI208" s="14"/>
      <c r="EJ208" s="14"/>
      <c r="EK208" s="14"/>
      <c r="EL208" s="14"/>
      <c r="EM208" s="14"/>
      <c r="EN208" s="14"/>
      <c r="EO208" s="14"/>
      <c r="EP208" s="14"/>
      <c r="EQ208" s="14"/>
      <c r="ER208" s="14"/>
      <c r="ES208" s="14"/>
      <c r="ET208" s="14"/>
      <c r="EU208" s="14"/>
      <c r="EV208" s="14"/>
      <c r="EW208" s="14"/>
      <c r="EX208" s="14"/>
    </row>
    <row r="209" spans="1:154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CB209" s="45"/>
      <c r="CC209" s="10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46"/>
      <c r="DP209" s="14"/>
      <c r="DQ209" s="14"/>
      <c r="DR209" s="14"/>
      <c r="DS209" s="14"/>
      <c r="DT209" s="14"/>
      <c r="DU209" s="14"/>
      <c r="DV209" s="14"/>
      <c r="DW209" s="14"/>
      <c r="DX209" s="14"/>
      <c r="DY209" s="14"/>
      <c r="DZ209" s="14"/>
      <c r="EA209" s="14"/>
      <c r="EB209" s="14"/>
      <c r="EC209" s="14"/>
      <c r="ED209" s="14"/>
      <c r="EE209" s="14"/>
      <c r="EF209" s="14"/>
      <c r="EG209" s="14"/>
      <c r="EH209" s="14"/>
      <c r="EI209" s="14"/>
      <c r="EJ209" s="14"/>
      <c r="EK209" s="14"/>
      <c r="EL209" s="14"/>
      <c r="EM209" s="14"/>
      <c r="EN209" s="14"/>
      <c r="EO209" s="14"/>
      <c r="EP209" s="14"/>
      <c r="EQ209" s="14"/>
      <c r="ER209" s="14"/>
      <c r="ES209" s="14"/>
      <c r="ET209" s="14"/>
      <c r="EU209" s="14"/>
      <c r="EV209" s="14"/>
      <c r="EW209" s="14"/>
      <c r="EX209" s="14"/>
    </row>
    <row r="210" spans="1:154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CB210" s="47"/>
      <c r="CC210" s="12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48"/>
      <c r="DP210" s="14"/>
      <c r="DQ210" s="14"/>
      <c r="DR210" s="14"/>
      <c r="DS210" s="14"/>
      <c r="DT210" s="14"/>
      <c r="DU210" s="14"/>
      <c r="DV210" s="14"/>
      <c r="DW210" s="14"/>
      <c r="DX210" s="14"/>
      <c r="DY210" s="14"/>
      <c r="DZ210" s="14"/>
      <c r="EA210" s="14"/>
      <c r="EB210" s="14"/>
      <c r="EC210" s="14"/>
      <c r="ED210" s="14"/>
      <c r="EE210" s="14"/>
      <c r="EF210" s="14"/>
      <c r="EG210" s="14"/>
      <c r="EH210" s="14"/>
      <c r="EI210" s="14"/>
      <c r="EJ210" s="14"/>
      <c r="EK210" s="14"/>
      <c r="EL210" s="14"/>
      <c r="EM210" s="14"/>
      <c r="EN210" s="14"/>
      <c r="EO210" s="14"/>
      <c r="EP210" s="14"/>
      <c r="EQ210" s="14"/>
      <c r="ER210" s="14"/>
      <c r="ES210" s="14"/>
      <c r="ET210" s="14"/>
      <c r="EU210" s="14"/>
      <c r="EV210" s="14"/>
      <c r="EW210" s="14"/>
      <c r="EX210" s="14"/>
    </row>
    <row r="211" spans="1:154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CB211" s="45"/>
      <c r="CC211" s="10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46"/>
      <c r="DP211" s="14"/>
      <c r="DQ211" s="14"/>
      <c r="DR211" s="14"/>
      <c r="DS211" s="14"/>
      <c r="DT211" s="14"/>
      <c r="DU211" s="14"/>
      <c r="DV211" s="14"/>
      <c r="DW211" s="14"/>
      <c r="DX211" s="14"/>
      <c r="DY211" s="14"/>
      <c r="DZ211" s="14"/>
      <c r="EA211" s="14"/>
      <c r="EB211" s="14"/>
      <c r="EC211" s="14"/>
      <c r="ED211" s="14"/>
      <c r="EE211" s="14"/>
      <c r="EF211" s="14"/>
      <c r="EG211" s="14"/>
      <c r="EH211" s="14"/>
      <c r="EI211" s="14"/>
      <c r="EJ211" s="14"/>
      <c r="EK211" s="14"/>
      <c r="EL211" s="14"/>
      <c r="EM211" s="14"/>
      <c r="EN211" s="14"/>
      <c r="EO211" s="14"/>
      <c r="EP211" s="14"/>
      <c r="EQ211" s="14"/>
      <c r="ER211" s="14"/>
      <c r="ES211" s="14"/>
      <c r="ET211" s="14"/>
      <c r="EU211" s="14"/>
      <c r="EV211" s="14"/>
      <c r="EW211" s="14"/>
      <c r="EX211" s="14"/>
    </row>
    <row r="212" spans="1:154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CB212" s="47"/>
      <c r="CC212" s="12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48"/>
      <c r="DP212" s="14"/>
      <c r="DQ212" s="14"/>
      <c r="DR212" s="14"/>
      <c r="DS212" s="14"/>
      <c r="DT212" s="14"/>
      <c r="DU212" s="14"/>
      <c r="DV212" s="14"/>
      <c r="DW212" s="14"/>
      <c r="DX212" s="14"/>
      <c r="DY212" s="14"/>
      <c r="DZ212" s="14"/>
      <c r="EA212" s="14"/>
      <c r="EB212" s="14"/>
      <c r="EC212" s="14"/>
      <c r="ED212" s="14"/>
      <c r="EE212" s="14"/>
      <c r="EF212" s="14"/>
      <c r="EG212" s="14"/>
      <c r="EH212" s="14"/>
      <c r="EI212" s="14"/>
      <c r="EJ212" s="14"/>
      <c r="EK212" s="14"/>
      <c r="EL212" s="14"/>
      <c r="EM212" s="14"/>
      <c r="EN212" s="14"/>
      <c r="EO212" s="14"/>
      <c r="EP212" s="14"/>
      <c r="EQ212" s="14"/>
      <c r="ER212" s="14"/>
      <c r="ES212" s="14"/>
      <c r="ET212" s="14"/>
      <c r="EU212" s="14"/>
      <c r="EV212" s="14"/>
      <c r="EW212" s="14"/>
      <c r="EX212" s="14"/>
    </row>
    <row r="213" spans="1:154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CB213" s="45"/>
      <c r="CC213" s="10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46"/>
      <c r="DP213" s="14"/>
      <c r="DQ213" s="14"/>
      <c r="DR213" s="14"/>
      <c r="DS213" s="14"/>
      <c r="DT213" s="14"/>
      <c r="DU213" s="14"/>
      <c r="DV213" s="14"/>
      <c r="DW213" s="14"/>
      <c r="DX213" s="14"/>
      <c r="DY213" s="14"/>
      <c r="DZ213" s="14"/>
      <c r="EA213" s="14"/>
      <c r="EB213" s="14"/>
      <c r="EC213" s="14"/>
      <c r="ED213" s="14"/>
      <c r="EE213" s="14"/>
      <c r="EF213" s="14"/>
      <c r="EG213" s="14"/>
      <c r="EH213" s="14"/>
      <c r="EI213" s="14"/>
      <c r="EJ213" s="14"/>
      <c r="EK213" s="14"/>
      <c r="EL213" s="14"/>
      <c r="EM213" s="14"/>
      <c r="EN213" s="14"/>
      <c r="EO213" s="14"/>
      <c r="EP213" s="14"/>
      <c r="EQ213" s="14"/>
      <c r="ER213" s="14"/>
      <c r="ES213" s="14"/>
      <c r="ET213" s="14"/>
      <c r="EU213" s="14"/>
      <c r="EV213" s="14"/>
      <c r="EW213" s="14"/>
      <c r="EX213" s="14"/>
    </row>
    <row r="214" spans="1:154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CB214" s="47"/>
      <c r="CC214" s="12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48"/>
      <c r="DP214" s="14"/>
      <c r="DQ214" s="14"/>
      <c r="DR214" s="14"/>
      <c r="DS214" s="14"/>
      <c r="DT214" s="14"/>
      <c r="DU214" s="14"/>
      <c r="DV214" s="14"/>
      <c r="DW214" s="14"/>
      <c r="DX214" s="14"/>
      <c r="DY214" s="14"/>
      <c r="DZ214" s="14"/>
      <c r="EA214" s="14"/>
      <c r="EB214" s="14"/>
      <c r="EC214" s="14"/>
      <c r="ED214" s="14"/>
      <c r="EE214" s="14"/>
      <c r="EF214" s="14"/>
      <c r="EG214" s="14"/>
      <c r="EH214" s="14"/>
      <c r="EI214" s="14"/>
      <c r="EJ214" s="14"/>
      <c r="EK214" s="14"/>
      <c r="EL214" s="14"/>
      <c r="EM214" s="14"/>
      <c r="EN214" s="14"/>
      <c r="EO214" s="14"/>
      <c r="EP214" s="14"/>
      <c r="EQ214" s="14"/>
      <c r="ER214" s="14"/>
      <c r="ES214" s="14"/>
      <c r="ET214" s="14"/>
      <c r="EU214" s="14"/>
      <c r="EV214" s="14"/>
      <c r="EW214" s="14"/>
      <c r="EX214" s="14"/>
    </row>
    <row r="215" spans="1:154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CB215" s="45"/>
      <c r="CC215" s="10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46"/>
      <c r="DP215" s="14"/>
      <c r="DQ215" s="14"/>
      <c r="DR215" s="14"/>
      <c r="DS215" s="14"/>
      <c r="DT215" s="14"/>
      <c r="DU215" s="14"/>
      <c r="DV215" s="14"/>
      <c r="DW215" s="14"/>
      <c r="DX215" s="14"/>
      <c r="DY215" s="14"/>
      <c r="DZ215" s="14"/>
      <c r="EA215" s="14"/>
      <c r="EB215" s="14"/>
      <c r="EC215" s="14"/>
      <c r="ED215" s="14"/>
      <c r="EE215" s="14"/>
      <c r="EF215" s="14"/>
      <c r="EG215" s="14"/>
      <c r="EH215" s="14"/>
      <c r="EI215" s="14"/>
      <c r="EJ215" s="14"/>
      <c r="EK215" s="14"/>
      <c r="EL215" s="14"/>
      <c r="EM215" s="14"/>
      <c r="EN215" s="14"/>
      <c r="EO215" s="14"/>
      <c r="EP215" s="14"/>
      <c r="EQ215" s="14"/>
      <c r="ER215" s="14"/>
      <c r="ES215" s="14"/>
      <c r="ET215" s="14"/>
      <c r="EU215" s="14"/>
      <c r="EV215" s="14"/>
      <c r="EW215" s="14"/>
      <c r="EX215" s="14"/>
    </row>
    <row r="216" spans="1:154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CB216" s="47"/>
      <c r="CC216" s="12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48"/>
      <c r="DP216" s="14"/>
      <c r="DQ216" s="14"/>
      <c r="DR216" s="14"/>
      <c r="DS216" s="14"/>
      <c r="DT216" s="14"/>
      <c r="DU216" s="14"/>
      <c r="DV216" s="14"/>
      <c r="DW216" s="14"/>
      <c r="DX216" s="14"/>
      <c r="DY216" s="14"/>
      <c r="DZ216" s="14"/>
      <c r="EA216" s="14"/>
      <c r="EB216" s="14"/>
      <c r="EC216" s="14"/>
      <c r="ED216" s="14"/>
      <c r="EE216" s="14"/>
      <c r="EF216" s="14"/>
      <c r="EG216" s="14"/>
      <c r="EH216" s="14"/>
      <c r="EI216" s="14"/>
      <c r="EJ216" s="14"/>
      <c r="EK216" s="14"/>
      <c r="EL216" s="14"/>
      <c r="EM216" s="14"/>
      <c r="EN216" s="14"/>
      <c r="EO216" s="14"/>
      <c r="EP216" s="14"/>
      <c r="EQ216" s="14"/>
      <c r="ER216" s="14"/>
      <c r="ES216" s="14"/>
      <c r="ET216" s="14"/>
      <c r="EU216" s="14"/>
      <c r="EV216" s="14"/>
      <c r="EW216" s="14"/>
      <c r="EX216" s="14"/>
    </row>
    <row r="217" spans="1:154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CB217" s="45"/>
      <c r="CC217" s="10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46"/>
      <c r="DP217" s="14"/>
      <c r="DQ217" s="14"/>
      <c r="DR217" s="14"/>
      <c r="DS217" s="14"/>
      <c r="DT217" s="14"/>
      <c r="DU217" s="14"/>
      <c r="DV217" s="14"/>
      <c r="DW217" s="14"/>
      <c r="DX217" s="14"/>
      <c r="DY217" s="14"/>
      <c r="DZ217" s="14"/>
      <c r="EA217" s="14"/>
      <c r="EB217" s="14"/>
      <c r="EC217" s="14"/>
      <c r="ED217" s="14"/>
      <c r="EE217" s="14"/>
      <c r="EF217" s="14"/>
      <c r="EG217" s="14"/>
      <c r="EH217" s="14"/>
      <c r="EI217" s="14"/>
      <c r="EJ217" s="14"/>
      <c r="EK217" s="14"/>
      <c r="EL217" s="14"/>
      <c r="EM217" s="14"/>
      <c r="EN217" s="14"/>
      <c r="EO217" s="14"/>
      <c r="EP217" s="14"/>
      <c r="EQ217" s="14"/>
      <c r="ER217" s="14"/>
      <c r="ES217" s="14"/>
      <c r="ET217" s="14"/>
      <c r="EU217" s="14"/>
      <c r="EV217" s="14"/>
      <c r="EW217" s="14"/>
      <c r="EX217" s="14"/>
    </row>
    <row r="218" spans="1:154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CB218" s="47"/>
      <c r="CC218" s="12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48"/>
      <c r="DP218" s="14"/>
      <c r="DQ218" s="14"/>
      <c r="DR218" s="14"/>
      <c r="DS218" s="14"/>
      <c r="DT218" s="14"/>
      <c r="DU218" s="14"/>
      <c r="DV218" s="14"/>
      <c r="DW218" s="14"/>
      <c r="DX218" s="14"/>
      <c r="DY218" s="14"/>
      <c r="DZ218" s="14"/>
      <c r="EA218" s="14"/>
      <c r="EB218" s="14"/>
      <c r="EC218" s="14"/>
      <c r="ED218" s="14"/>
      <c r="EE218" s="14"/>
      <c r="EF218" s="14"/>
      <c r="EG218" s="14"/>
      <c r="EH218" s="14"/>
      <c r="EI218" s="14"/>
      <c r="EJ218" s="14"/>
      <c r="EK218" s="14"/>
      <c r="EL218" s="14"/>
      <c r="EM218" s="14"/>
      <c r="EN218" s="14"/>
      <c r="EO218" s="14"/>
      <c r="EP218" s="14"/>
      <c r="EQ218" s="14"/>
      <c r="ER218" s="14"/>
      <c r="ES218" s="14"/>
      <c r="ET218" s="14"/>
      <c r="EU218" s="14"/>
      <c r="EV218" s="14"/>
      <c r="EW218" s="14"/>
      <c r="EX218" s="14"/>
    </row>
    <row r="219" spans="1:154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CB219" s="45"/>
      <c r="CC219" s="10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46"/>
      <c r="DP219" s="14"/>
      <c r="DQ219" s="14"/>
      <c r="DR219" s="14"/>
      <c r="DS219" s="14"/>
      <c r="DT219" s="14"/>
      <c r="DU219" s="14"/>
      <c r="DV219" s="14"/>
      <c r="DW219" s="14"/>
      <c r="DX219" s="14"/>
      <c r="DY219" s="14"/>
      <c r="DZ219" s="14"/>
      <c r="EA219" s="14"/>
      <c r="EB219" s="14"/>
      <c r="EC219" s="14"/>
      <c r="ED219" s="14"/>
      <c r="EE219" s="14"/>
      <c r="EF219" s="14"/>
      <c r="EG219" s="14"/>
      <c r="EH219" s="14"/>
      <c r="EI219" s="14"/>
      <c r="EJ219" s="14"/>
      <c r="EK219" s="14"/>
      <c r="EL219" s="14"/>
      <c r="EM219" s="14"/>
      <c r="EN219" s="14"/>
      <c r="EO219" s="14"/>
      <c r="EP219" s="14"/>
      <c r="EQ219" s="14"/>
      <c r="ER219" s="14"/>
      <c r="ES219" s="14"/>
      <c r="ET219" s="14"/>
      <c r="EU219" s="14"/>
      <c r="EV219" s="14"/>
      <c r="EW219" s="14"/>
      <c r="EX219" s="14"/>
    </row>
    <row r="220" spans="1:154" ht="15.75" thickBot="1" x14ac:dyDescent="0.3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CB220" s="74"/>
      <c r="CC220" s="75"/>
      <c r="CD220" s="76"/>
      <c r="CE220" s="76"/>
      <c r="CF220" s="76"/>
      <c r="CG220" s="76"/>
      <c r="CH220" s="76"/>
      <c r="CI220" s="76"/>
      <c r="CJ220" s="76"/>
      <c r="CK220" s="76"/>
      <c r="CL220" s="76"/>
      <c r="CM220" s="76"/>
      <c r="CN220" s="76"/>
      <c r="CO220" s="76"/>
      <c r="CP220" s="76"/>
      <c r="CQ220" s="76"/>
      <c r="CR220" s="76"/>
      <c r="CS220" s="76"/>
      <c r="CT220" s="76"/>
      <c r="CU220" s="76"/>
      <c r="CV220" s="76"/>
      <c r="CW220" s="76"/>
      <c r="CX220" s="76"/>
      <c r="CY220" s="76"/>
      <c r="CZ220" s="76"/>
      <c r="DA220" s="76"/>
      <c r="DB220" s="76"/>
      <c r="DC220" s="76"/>
      <c r="DD220" s="76"/>
      <c r="DE220" s="76"/>
      <c r="DF220" s="76"/>
      <c r="DG220" s="76"/>
      <c r="DH220" s="76"/>
      <c r="DI220" s="76"/>
      <c r="DJ220" s="77"/>
      <c r="DP220" s="14"/>
      <c r="DQ220" s="14"/>
      <c r="DR220" s="14"/>
      <c r="DS220" s="14"/>
      <c r="DT220" s="14"/>
      <c r="DU220" s="14"/>
      <c r="DV220" s="14"/>
      <c r="DW220" s="14"/>
      <c r="DX220" s="14"/>
      <c r="DY220" s="14"/>
      <c r="DZ220" s="14"/>
      <c r="EA220" s="14"/>
      <c r="EB220" s="14"/>
      <c r="EC220" s="14"/>
      <c r="ED220" s="14"/>
      <c r="EE220" s="14"/>
      <c r="EF220" s="14"/>
      <c r="EG220" s="14"/>
      <c r="EH220" s="14"/>
      <c r="EI220" s="14"/>
      <c r="EJ220" s="14"/>
      <c r="EK220" s="14"/>
      <c r="EL220" s="14"/>
      <c r="EM220" s="14"/>
      <c r="EN220" s="14"/>
      <c r="EO220" s="14"/>
      <c r="EP220" s="14"/>
      <c r="EQ220" s="14"/>
      <c r="ER220" s="14"/>
      <c r="ES220" s="14"/>
      <c r="ET220" s="14"/>
      <c r="EU220" s="14"/>
      <c r="EV220" s="14"/>
      <c r="EW220" s="14"/>
      <c r="EX220" s="14"/>
    </row>
    <row r="222" spans="1:154" ht="15.75" customHeight="1" x14ac:dyDescent="0.25"/>
  </sheetData>
  <mergeCells count="72">
    <mergeCell ref="EG18:EI18"/>
    <mergeCell ref="DT17:DZ18"/>
    <mergeCell ref="CS204:CU204"/>
    <mergeCell ref="EG1:EI1"/>
    <mergeCell ref="CM204:CR205"/>
    <mergeCell ref="CS172:CU172"/>
    <mergeCell ref="CM172:CR173"/>
    <mergeCell ref="EG50:EI50"/>
    <mergeCell ref="DT49:DZ50"/>
    <mergeCell ref="EA49:EF50"/>
    <mergeCell ref="AS1:AY2"/>
    <mergeCell ref="CS205:CU205"/>
    <mergeCell ref="CS50:CU50"/>
    <mergeCell ref="CS152:CU152"/>
    <mergeCell ref="CF172:CL173"/>
    <mergeCell ref="E1:K2"/>
    <mergeCell ref="CF70:CL71"/>
    <mergeCell ref="CM32:CR33"/>
    <mergeCell ref="R17:T17"/>
    <mergeCell ref="CS1:CU1"/>
    <mergeCell ref="CF99:CL100"/>
    <mergeCell ref="CR15:CU15"/>
    <mergeCell ref="CM152:CR153"/>
    <mergeCell ref="E17:K18"/>
    <mergeCell ref="CM99:CR100"/>
    <mergeCell ref="AS26:AY27"/>
    <mergeCell ref="CS71:CU71"/>
    <mergeCell ref="CS33:CU33"/>
    <mergeCell ref="R51:T51"/>
    <mergeCell ref="L17:Q18"/>
    <mergeCell ref="E51:K52"/>
    <mergeCell ref="CS173:CU173"/>
    <mergeCell ref="EG2:EI2"/>
    <mergeCell ref="CS136:CU136"/>
    <mergeCell ref="CS99:CU99"/>
    <mergeCell ref="EA17:EF18"/>
    <mergeCell ref="EA1:EF2"/>
    <mergeCell ref="CS70:CU70"/>
    <mergeCell ref="DT1:DZ2"/>
    <mergeCell ref="CS135:CU135"/>
    <mergeCell ref="CS100:CU100"/>
    <mergeCell ref="CR14:CU14"/>
    <mergeCell ref="EG17:EI17"/>
    <mergeCell ref="CS51:CU51"/>
    <mergeCell ref="CS153:CU153"/>
    <mergeCell ref="CS2:CU2"/>
    <mergeCell ref="EG49:EI49"/>
    <mergeCell ref="CF204:CL205"/>
    <mergeCell ref="R1:T1"/>
    <mergeCell ref="CM14:CQ15"/>
    <mergeCell ref="BF26:BH26"/>
    <mergeCell ref="CF135:CL136"/>
    <mergeCell ref="CM1:CR2"/>
    <mergeCell ref="AZ26:BE27"/>
    <mergeCell ref="CF14:CL15"/>
    <mergeCell ref="CF32:CL33"/>
    <mergeCell ref="CM135:CR136"/>
    <mergeCell ref="CF152:CL153"/>
    <mergeCell ref="BF1:BH1"/>
    <mergeCell ref="CM50:CR51"/>
    <mergeCell ref="R52:T52"/>
    <mergeCell ref="R2:T2"/>
    <mergeCell ref="BF2:BH2"/>
    <mergeCell ref="L1:Q2"/>
    <mergeCell ref="CF50:CL51"/>
    <mergeCell ref="CS32:CU32"/>
    <mergeCell ref="L51:Q52"/>
    <mergeCell ref="CM70:CR71"/>
    <mergeCell ref="BF27:BH27"/>
    <mergeCell ref="R18:T18"/>
    <mergeCell ref="CF1:CL2"/>
    <mergeCell ref="AZ1:BE2"/>
  </mergeCells>
  <pageMargins left="0" right="0" top="0" bottom="0" header="0" footer="0"/>
  <pageSetup paperSize="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>
      <selection activeCell="C23" sqref="C23"/>
    </sheetView>
  </sheetViews>
  <sheetFormatPr baseColWidth="10" defaultRowHeight="15" x14ac:dyDescent="0.25"/>
  <cols>
    <col min="1" max="1" width="29.7109375" bestFit="1" customWidth="1"/>
    <col min="2" max="2" width="18.85546875" bestFit="1" customWidth="1"/>
    <col min="5" max="5" width="23.7109375" bestFit="1" customWidth="1"/>
    <col min="6" max="6" width="21.28515625" bestFit="1" customWidth="1"/>
  </cols>
  <sheetData>
    <row r="1" spans="1:3" x14ac:dyDescent="0.25">
      <c r="A1" t="s">
        <v>47</v>
      </c>
    </row>
    <row r="2" spans="1:3" x14ac:dyDescent="0.25">
      <c r="A2" t="s">
        <v>48</v>
      </c>
      <c r="B2" t="s">
        <v>49</v>
      </c>
    </row>
    <row r="3" spans="1:3" x14ac:dyDescent="0.25">
      <c r="A3" t="s">
        <v>50</v>
      </c>
      <c r="B3" t="s">
        <v>51</v>
      </c>
    </row>
    <row r="4" spans="1:3" x14ac:dyDescent="0.25">
      <c r="A4" t="s">
        <v>52</v>
      </c>
      <c r="B4" t="s">
        <v>53</v>
      </c>
    </row>
    <row r="5" spans="1:3" x14ac:dyDescent="0.25">
      <c r="A5" t="s">
        <v>54</v>
      </c>
      <c r="B5" t="s">
        <v>55</v>
      </c>
    </row>
    <row r="10" spans="1:3" x14ac:dyDescent="0.25">
      <c r="A10" s="33" t="s">
        <v>56</v>
      </c>
      <c r="B10" s="34"/>
      <c r="C10" s="34"/>
    </row>
    <row r="11" spans="1:3" x14ac:dyDescent="0.25">
      <c r="A11" t="s">
        <v>57</v>
      </c>
      <c r="B11" s="2">
        <v>46279</v>
      </c>
    </row>
    <row r="12" spans="1:3" x14ac:dyDescent="0.25">
      <c r="A12" t="s">
        <v>58</v>
      </c>
      <c r="B12" s="2">
        <v>46312</v>
      </c>
      <c r="C12" s="2">
        <v>46328</v>
      </c>
    </row>
    <row r="13" spans="1:3" x14ac:dyDescent="0.25">
      <c r="A13" t="s">
        <v>59</v>
      </c>
      <c r="B13" s="2">
        <v>46375</v>
      </c>
      <c r="C13" s="2">
        <v>46391</v>
      </c>
    </row>
    <row r="14" spans="1:3" x14ac:dyDescent="0.25">
      <c r="A14" t="s">
        <v>60</v>
      </c>
      <c r="B14" s="2">
        <v>46431</v>
      </c>
      <c r="C14" s="2">
        <v>46447</v>
      </c>
    </row>
    <row r="15" spans="1:3" x14ac:dyDescent="0.25">
      <c r="A15" t="s">
        <v>61</v>
      </c>
      <c r="B15" s="2">
        <v>46487</v>
      </c>
      <c r="C15" s="2">
        <v>46503</v>
      </c>
    </row>
    <row r="16" spans="1:3" x14ac:dyDescent="0.25">
      <c r="A16" t="s">
        <v>62</v>
      </c>
      <c r="B16" s="2">
        <v>46563</v>
      </c>
    </row>
    <row r="19" spans="1:3" x14ac:dyDescent="0.25">
      <c r="A19" t="s">
        <v>63</v>
      </c>
    </row>
    <row r="20" spans="1:3" x14ac:dyDescent="0.25">
      <c r="A20" t="s">
        <v>64</v>
      </c>
      <c r="B20" s="2">
        <v>46465</v>
      </c>
      <c r="C20" s="2">
        <v>46481</v>
      </c>
    </row>
  </sheetData>
  <mergeCells count="1">
    <mergeCell ref="A10:C1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217bfd-7fc6-4e23-babe-07368f99370d}" enabled="1" method="Standard" siteId="{fda9decf-e892-43ac-9d9f-1a493f9f98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Résumé Effectifs</vt:lpstr>
      <vt:lpstr>Feuil1</vt:lpstr>
      <vt:lpstr>Vacance et férié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LOPEZ, DAVID - [Magellan]</dc:creator>
  <cp:lastModifiedBy>LOPEZ, DAVID - [Magellan]</cp:lastModifiedBy>
  <cp:lastPrinted>2026-08-28T14:42:15Z</cp:lastPrinted>
  <dcterms:created xsi:type="dcterms:W3CDTF">2026-07-15T05:43:40Z</dcterms:created>
  <dcterms:modified xsi:type="dcterms:W3CDTF">2026-09-01T18:59:58Z</dcterms:modified>
</cp:coreProperties>
</file>